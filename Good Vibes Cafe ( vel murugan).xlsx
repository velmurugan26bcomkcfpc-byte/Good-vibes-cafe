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10" yWindow="-110" windowWidth="23260" windowHeight="13900" firstSheet="3" activeTab="7"/>
  </bookViews>
  <sheets>
    <sheet name="Transactins " sheetId="11" r:id="rId1"/>
    <sheet name="Journal " sheetId="1" r:id="rId2"/>
    <sheet name="Ledger" sheetId="2" r:id="rId3"/>
    <sheet name="Trial Balance" sheetId="3" r:id="rId4"/>
    <sheet name="Trading account " sheetId="4" r:id="rId5"/>
    <sheet name="Profit and Loss account " sheetId="5" r:id="rId6"/>
    <sheet name="Balance sheet" sheetId="6" r:id="rId7"/>
    <sheet name="Ratio analysis" sheetId="7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7" l="1"/>
  <c r="B25" i="7"/>
  <c r="B5" i="7"/>
  <c r="D24" i="3"/>
  <c r="C24" i="3"/>
  <c r="F29" i="2"/>
</calcChain>
</file>

<file path=xl/sharedStrings.xml><?xml version="1.0" encoding="utf-8"?>
<sst xmlns="http://schemas.openxmlformats.org/spreadsheetml/2006/main" count="695" uniqueCount="294">
  <si>
    <t>In the books of journal entries of good vibes café for the month of April to May 2026</t>
  </si>
  <si>
    <t xml:space="preserve">Date </t>
  </si>
  <si>
    <t>Particulars</t>
  </si>
  <si>
    <t>L.F</t>
  </si>
  <si>
    <t>Debit ₹</t>
  </si>
  <si>
    <t>Credit ₹</t>
  </si>
  <si>
    <t xml:space="preserve">Cash a/c </t>
  </si>
  <si>
    <t xml:space="preserve"> To Capital a/c</t>
  </si>
  <si>
    <t>(Being cash introduced into business)</t>
  </si>
  <si>
    <t>Dr</t>
  </si>
  <si>
    <t>Bank a/c</t>
  </si>
  <si>
    <t xml:space="preserve"> To Cash a/c</t>
  </si>
  <si>
    <t>Rent a/c</t>
  </si>
  <si>
    <t xml:space="preserve"> To Bank a/c</t>
  </si>
  <si>
    <t>(Being Rent paid)</t>
  </si>
  <si>
    <t>(Being cash deposited)</t>
  </si>
  <si>
    <t>(Being furniture purchased )</t>
  </si>
  <si>
    <t xml:space="preserve">Espresso machine a/c </t>
  </si>
  <si>
    <t xml:space="preserve"> To  Cafe Equipments ltd</t>
  </si>
  <si>
    <t>Furniture a/c</t>
  </si>
  <si>
    <t>Stationery a/c</t>
  </si>
  <si>
    <t>Purchase a/c</t>
  </si>
  <si>
    <t>(Being grocery purchased)</t>
  </si>
  <si>
    <t>(Being Cash Paid)</t>
  </si>
  <si>
    <t>(Being machine purchased)</t>
  </si>
  <si>
    <t>Cash a/c</t>
  </si>
  <si>
    <t xml:space="preserve"> To Sales a/c</t>
  </si>
  <si>
    <t>(Being sales occurred for cash)</t>
  </si>
  <si>
    <t>Advertisenent a/c</t>
  </si>
  <si>
    <t>(Being cash paid)</t>
  </si>
  <si>
    <t>(Being sold snacks)</t>
  </si>
  <si>
    <t xml:space="preserve">Electricity bill a/c </t>
  </si>
  <si>
    <t>(Being cash Paid)</t>
  </si>
  <si>
    <t xml:space="preserve">Purchase a/c </t>
  </si>
  <si>
    <t xml:space="preserve"> To Bharat suppliers</t>
  </si>
  <si>
    <t>(Being purchased from bharat suppliers)</t>
  </si>
  <si>
    <t>(Being sold for cash)</t>
  </si>
  <si>
    <t>Bharat suppliers a/c</t>
  </si>
  <si>
    <t xml:space="preserve">Water bill a/c </t>
  </si>
  <si>
    <t>Salaries a/c</t>
  </si>
  <si>
    <t>(Being Salaries Paid)</t>
  </si>
  <si>
    <t>Month of May 2026</t>
  </si>
  <si>
    <t xml:space="preserve">Rent a/c </t>
  </si>
  <si>
    <t>(Being Rent paid )</t>
  </si>
  <si>
    <t>(Being groceries purchased)</t>
  </si>
  <si>
    <t>Café equipment ltd a/c</t>
  </si>
  <si>
    <t xml:space="preserve"> To  Cash a/c</t>
  </si>
  <si>
    <t>(Being Cash Paid )</t>
  </si>
  <si>
    <t xml:space="preserve"> To sales a/c</t>
  </si>
  <si>
    <t>(Being goods sold )</t>
  </si>
  <si>
    <t>Internet bill a/c</t>
  </si>
  <si>
    <t>(Being bill paid)</t>
  </si>
  <si>
    <t xml:space="preserve">Cutlery a/c </t>
  </si>
  <si>
    <t>(Being cutlery purchased)</t>
  </si>
  <si>
    <t>(Being sold for cash</t>
  </si>
  <si>
    <t>Microwave a/c</t>
  </si>
  <si>
    <t>(Being cash Paid )</t>
  </si>
  <si>
    <t>Electricity bill a/c</t>
  </si>
  <si>
    <t xml:space="preserve"> To cash a/c</t>
  </si>
  <si>
    <t>(Being cash withdrawn)</t>
  </si>
  <si>
    <t xml:space="preserve">Deep cleaning service a/c </t>
  </si>
  <si>
    <t xml:space="preserve">(Being Cash a/c) </t>
  </si>
  <si>
    <t xml:space="preserve">one-time legal consultation fee a/c </t>
  </si>
  <si>
    <t>(Being Cash paid for salary)</t>
  </si>
  <si>
    <t>In the books of ledger of good vibes café for the month of april to may 2026</t>
  </si>
  <si>
    <t>Date</t>
  </si>
  <si>
    <t>J.F</t>
  </si>
  <si>
    <t>Amount ₹</t>
  </si>
  <si>
    <t>Capital account</t>
  </si>
  <si>
    <t xml:space="preserve">By Cash a/c </t>
  </si>
  <si>
    <t xml:space="preserve">To Balance c/d </t>
  </si>
  <si>
    <t>Cash account</t>
  </si>
  <si>
    <t>To Capital a/c</t>
  </si>
  <si>
    <t>By Bank a/c</t>
  </si>
  <si>
    <t>To Balance b/d</t>
  </si>
  <si>
    <t>By Furniture a/c</t>
  </si>
  <si>
    <t>By Stationery a/c</t>
  </si>
  <si>
    <t>By Purchase a/c</t>
  </si>
  <si>
    <t>To Sales a/c</t>
  </si>
  <si>
    <t>By Advertisement a/c</t>
  </si>
  <si>
    <t>By Electricity bill a/c</t>
  </si>
  <si>
    <t>By Bharat Suppliers</t>
  </si>
  <si>
    <t>By Balance b/d</t>
  </si>
  <si>
    <t>By water bill</t>
  </si>
  <si>
    <t>To sales a/c</t>
  </si>
  <si>
    <t>By Salaries a/c</t>
  </si>
  <si>
    <t>By balance c/d</t>
  </si>
  <si>
    <t>Bank account</t>
  </si>
  <si>
    <t>To Bank a/c</t>
  </si>
  <si>
    <t>By Café equipment ltd</t>
  </si>
  <si>
    <t>By internet bill a/c</t>
  </si>
  <si>
    <t>By cutlery a/c</t>
  </si>
  <si>
    <t>By Microwave a/c</t>
  </si>
  <si>
    <t>By electricity bill a/c</t>
  </si>
  <si>
    <t>By deep cleaning service a/c</t>
  </si>
  <si>
    <t>By consultation Fee a/c</t>
  </si>
  <si>
    <t xml:space="preserve">To Cash a/c </t>
  </si>
  <si>
    <t xml:space="preserve">By Rent a/c </t>
  </si>
  <si>
    <t xml:space="preserve">by Balance c/d </t>
  </si>
  <si>
    <t xml:space="preserve">To balance  b/d </t>
  </si>
  <si>
    <t>Rent account</t>
  </si>
  <si>
    <t xml:space="preserve">Particulars </t>
  </si>
  <si>
    <t xml:space="preserve">J.F </t>
  </si>
  <si>
    <t xml:space="preserve">By Balance c/d </t>
  </si>
  <si>
    <t xml:space="preserve">To Balance b/d </t>
  </si>
  <si>
    <t xml:space="preserve">Furniture account </t>
  </si>
  <si>
    <t xml:space="preserve">To Cash  a/c </t>
  </si>
  <si>
    <t xml:space="preserve">Expresso Machine account </t>
  </si>
  <si>
    <t xml:space="preserve">To café equipment a/c </t>
  </si>
  <si>
    <t xml:space="preserve">Café Equipment account </t>
  </si>
  <si>
    <t xml:space="preserve">Amount </t>
  </si>
  <si>
    <t xml:space="preserve">Expresso Machine a/c </t>
  </si>
  <si>
    <t xml:space="preserve">By Balance b/d </t>
  </si>
  <si>
    <t xml:space="preserve">Stationery Account </t>
  </si>
  <si>
    <t xml:space="preserve">To Stationery a/c </t>
  </si>
  <si>
    <t xml:space="preserve">To Balance B/d </t>
  </si>
  <si>
    <t xml:space="preserve">Purchase account </t>
  </si>
  <si>
    <t xml:space="preserve">To cash a/c </t>
  </si>
  <si>
    <t xml:space="preserve">To Bharat Suppliers a/c </t>
  </si>
  <si>
    <t xml:space="preserve">Sales account </t>
  </si>
  <si>
    <t>By Cash A/c</t>
  </si>
  <si>
    <t xml:space="preserve">  </t>
  </si>
  <si>
    <t>10.04.2026</t>
  </si>
  <si>
    <t>15.04.2026</t>
  </si>
  <si>
    <t>22.04.2026</t>
  </si>
  <si>
    <t>28.04.2026</t>
  </si>
  <si>
    <t>8.04.2026</t>
  </si>
  <si>
    <t>15.05.2026</t>
  </si>
  <si>
    <t>22.05.2026</t>
  </si>
  <si>
    <t>To Balance c/d</t>
  </si>
  <si>
    <t>Advertisement account</t>
  </si>
  <si>
    <t>Amount₹</t>
  </si>
  <si>
    <t>To Cash a/c</t>
  </si>
  <si>
    <t>Electricity Bill a/c</t>
  </si>
  <si>
    <t xml:space="preserve">By balance c/d </t>
  </si>
  <si>
    <t>Water bill a/c</t>
  </si>
  <si>
    <t>By Balance c/d</t>
  </si>
  <si>
    <t>To cash a/c</t>
  </si>
  <si>
    <t xml:space="preserve">Internet Bill a/c </t>
  </si>
  <si>
    <t>Cutlery a/c</t>
  </si>
  <si>
    <t>Cleaning service a/c</t>
  </si>
  <si>
    <t>Legal Consultation Fee a/c</t>
  </si>
  <si>
    <t>30.05.2026</t>
  </si>
  <si>
    <t>01.06.2026</t>
  </si>
  <si>
    <t>To balance b/d</t>
  </si>
  <si>
    <t>Cr</t>
  </si>
  <si>
    <t>S.No</t>
  </si>
  <si>
    <t>Debit₹</t>
  </si>
  <si>
    <t>Credit₹</t>
  </si>
  <si>
    <t>Cash A/c</t>
  </si>
  <si>
    <t>Bank A/c</t>
  </si>
  <si>
    <t>Rent A/c</t>
  </si>
  <si>
    <t>Furniture A/c</t>
  </si>
  <si>
    <t>Espresso machine A/c</t>
  </si>
  <si>
    <t>Stationery A/c</t>
  </si>
  <si>
    <t xml:space="preserve">Purchaes A/c </t>
  </si>
  <si>
    <t>Advertisement A/c</t>
  </si>
  <si>
    <t>Electricity Bill A/c</t>
  </si>
  <si>
    <t>Bharat suppliers A/c</t>
  </si>
  <si>
    <t>-</t>
  </si>
  <si>
    <t>Water Bill A/c</t>
  </si>
  <si>
    <t>Salaries A/c</t>
  </si>
  <si>
    <t>Internet Bill A/c</t>
  </si>
  <si>
    <t>Cutlery A/c</t>
  </si>
  <si>
    <t>Cleaning Services A/c</t>
  </si>
  <si>
    <t>Microwave Oven A/c</t>
  </si>
  <si>
    <t>Leagel Consultation Fee A/c</t>
  </si>
  <si>
    <t>Capital A/c</t>
  </si>
  <si>
    <t>Café equipment Ltd A/c</t>
  </si>
  <si>
    <t>Sales A/c</t>
  </si>
  <si>
    <t>In the books of Trial balance of good vibes cafe for the month of april to may 2026</t>
  </si>
  <si>
    <t>Bharat Suppliers a/c</t>
  </si>
  <si>
    <t xml:space="preserve">Ratio Analysis </t>
  </si>
  <si>
    <t>Interpretation of results</t>
  </si>
  <si>
    <t>1. Current Ratio</t>
  </si>
  <si>
    <t>current Assets</t>
  </si>
  <si>
    <t>current liabilities</t>
  </si>
  <si>
    <t>Current ratio</t>
  </si>
  <si>
    <t>Ideal ratio is 2:1</t>
  </si>
  <si>
    <t>The firm has ₹22.66 of current assets for every ₹1 of current liabilities.</t>
  </si>
  <si>
    <t>This indicates excellent short term solvency amd a very strong ability to meet its current obligatiions.</t>
  </si>
  <si>
    <t>2. Quick Ratio</t>
  </si>
  <si>
    <t xml:space="preserve">Quick assets </t>
  </si>
  <si>
    <t>Quick ratio</t>
  </si>
  <si>
    <t>Ideal ratio is 1:1</t>
  </si>
  <si>
    <t>The firm has ₹22.66 of quick assets for every₹1 of current liabilities.</t>
  </si>
  <si>
    <t>This indicates excellent immediate liquidity and a very strong ability to meet short term obligations.</t>
  </si>
  <si>
    <t>3.Cash Ratio</t>
  </si>
  <si>
    <t>Cash + cash equivalents</t>
  </si>
  <si>
    <t>Cash Ratio</t>
  </si>
  <si>
    <t>(Cash +cash equivalents)/Current liabilities</t>
  </si>
  <si>
    <t>Ideal  ratio is 0.5 :1</t>
  </si>
  <si>
    <t>The firm has ₹22.66 of cash and cash equivalents for every ₹1of current liabilities comfortably</t>
  </si>
  <si>
    <t xml:space="preserve">meet all its short term obligations using only its cash and cash equivalents </t>
  </si>
  <si>
    <t>4. Debt-to-equity ratio</t>
  </si>
  <si>
    <t>Total debt</t>
  </si>
  <si>
    <t>shareholders equity</t>
  </si>
  <si>
    <t>Debt -to-equit Ratio</t>
  </si>
  <si>
    <t>Total debt / shareholders equity</t>
  </si>
  <si>
    <t>Ideal ratio is &lt;1.0</t>
  </si>
  <si>
    <t>The firm has ₹0.0365 of debt for every ₹1shareholders equity</t>
  </si>
  <si>
    <t xml:space="preserve">5. Debt-to-Asset Ratio </t>
  </si>
  <si>
    <t>Total debt/ Total Assets</t>
  </si>
  <si>
    <t xml:space="preserve">Total Debt </t>
  </si>
  <si>
    <t xml:space="preserve">Total Asset </t>
  </si>
  <si>
    <t>Debt-to-Asset ratio</t>
  </si>
  <si>
    <t>Ideal Ratio is &lt;50%</t>
  </si>
  <si>
    <t xml:space="preserve">The firm has ₹0.0352 of debt for every ₹1 invested in total assets </t>
  </si>
  <si>
    <t>The firm finances 3.52% of its assets through debt.</t>
  </si>
  <si>
    <t>Indicates Strong financial Stability and a low level of financial risk.</t>
  </si>
  <si>
    <t xml:space="preserve">This indicates a very low level of financial leverage and a strong equity </t>
  </si>
  <si>
    <t>To Opening Stock</t>
  </si>
  <si>
    <t xml:space="preserve">By Sales </t>
  </si>
  <si>
    <t>To Purchase</t>
  </si>
  <si>
    <t>By Closing Stock</t>
  </si>
  <si>
    <t>To Gross profit C/d</t>
  </si>
  <si>
    <t>To Rent</t>
  </si>
  <si>
    <t>By Gross Profit B/d</t>
  </si>
  <si>
    <t>To Stationery</t>
  </si>
  <si>
    <t>By Net Loss</t>
  </si>
  <si>
    <t>To Advertisement</t>
  </si>
  <si>
    <t>To Electricity Bill</t>
  </si>
  <si>
    <t>To Water Bill</t>
  </si>
  <si>
    <t>To Salaries</t>
  </si>
  <si>
    <t>To Internet Bill</t>
  </si>
  <si>
    <t>To Cleaning service</t>
  </si>
  <si>
    <t>To Leagel Consultation fee</t>
  </si>
  <si>
    <t>In the books of Trading account of good vibes cafe for the month of april to may 2026</t>
  </si>
  <si>
    <t>In the books of Profit and loss account of good vibes cafe for the month of april to may 2026</t>
  </si>
  <si>
    <t>Liabilities</t>
  </si>
  <si>
    <t>Assets</t>
  </si>
  <si>
    <t>Capital</t>
  </si>
  <si>
    <t>Cash</t>
  </si>
  <si>
    <t>Less:Net Loss</t>
  </si>
  <si>
    <t>Bank</t>
  </si>
  <si>
    <t>Furniture</t>
  </si>
  <si>
    <t>Sundry Creditors</t>
  </si>
  <si>
    <t>Espersso Machine</t>
  </si>
  <si>
    <t>Café Equipment Ltd</t>
  </si>
  <si>
    <t xml:space="preserve">Cutlry </t>
  </si>
  <si>
    <t>Microwave Oven</t>
  </si>
  <si>
    <t xml:space="preserve">6. Asset Turnover Ratio </t>
  </si>
  <si>
    <t>Net Sales /Total assets</t>
  </si>
  <si>
    <t xml:space="preserve">Net Sales </t>
  </si>
  <si>
    <t xml:space="preserve">Total assets </t>
  </si>
  <si>
    <t>Asset Turnover Ratio</t>
  </si>
  <si>
    <t>Ideal Ratio is &gt; 2times</t>
  </si>
  <si>
    <t xml:space="preserve">The firm generates ₹ 0.071 of net sales for every ₹1 invested in total assets </t>
  </si>
  <si>
    <t xml:space="preserve">This indicates the business generates sales equal to 7.1% of its total assets </t>
  </si>
  <si>
    <t xml:space="preserve">7. Working  Capital Turnover Ratio </t>
  </si>
  <si>
    <t>Net sales</t>
  </si>
  <si>
    <t>Current assets -current liabilities</t>
  </si>
  <si>
    <t xml:space="preserve">Working  Capital Turnover Ratio </t>
  </si>
  <si>
    <t xml:space="preserve">8. Working Capital Turnover </t>
  </si>
  <si>
    <t>working capital</t>
  </si>
  <si>
    <t>Working capital turnover ratio</t>
  </si>
  <si>
    <t>Net Sales / (current asset-current liabilities)</t>
  </si>
  <si>
    <t>Transactions of good vibes café for the month of april to may 2026</t>
  </si>
  <si>
    <t>Started business with Cash ₹100,000.</t>
  </si>
  <si>
    <t>Opened a bank account with Commercial Bank and deposited Cash ₹45,000.</t>
  </si>
  <si>
    <t>Purchased goods on credit from Miller Distributing for ₹18,000.</t>
  </si>
  <si>
    <t>Paid carriage inwards on the purchases in cash ₹1,200.</t>
  </si>
  <si>
    <t>Sold goods for cash ₹14,000.</t>
  </si>
  <si>
    <t>Sold goods on credit to Davis Retailers for ₹22,000.</t>
  </si>
  <si>
    <t>Paid factory cleaning and power expenses in cash ₹1,500.</t>
  </si>
  <si>
    <t>Returned defective goods to Miller Distributing worth ₹1,000.</t>
  </si>
  <si>
    <t>Davis Retailers returned damaged goods worth ₹2,000.</t>
  </si>
  <si>
    <t>Paid cash for office stationery ₹900.</t>
  </si>
  <si>
    <t>Received a cheque from Davis Retailers for ₹15,000 as partial payment.</t>
  </si>
  <si>
    <t>Paid Miller Distributing ₹10,000 by cheque.</t>
  </si>
  <si>
    <t>Purchased goods for cash ₹11,000.</t>
  </si>
  <si>
    <t>The owner withdrew cash from the bank for personal use ₹3,500.</t>
  </si>
  <si>
    <t>Paid factory manufacturing wages in cash ₹4,800.</t>
  </si>
  <si>
    <t>Sold goods for cash ₹16,500.</t>
  </si>
  <si>
    <t>Paid storefront advertising expenses in cash ₹3,000.</t>
  </si>
  <si>
    <t>Bought goods on credit from Miller Distributing for ₹12,000.</t>
  </si>
  <si>
    <t>Sold goods on credit to Davis Retailers for ₹19,000.</t>
  </si>
  <si>
    <t>Received commission in cash ₹1,800.</t>
  </si>
  <si>
    <t>Paid Motor Corps ₹10,000 by cheque toward the Motor car balance.</t>
  </si>
  <si>
    <t>Paid office rent by cheque ₹4,000.</t>
  </si>
  <si>
    <t>Paid carriage outwards on sales in cash ₹1,100.</t>
  </si>
  <si>
    <t>Received a cheque from Davis Retailers for ₹12,000.</t>
  </si>
  <si>
    <t>Paid general office administrative expenses in cash ₹1,600.</t>
  </si>
  <si>
    <t>Bank debited account for monthly service fees ₹400.</t>
  </si>
  <si>
    <t>Paid insurance premium for the office in cash ₹1,300.</t>
  </si>
  <si>
    <t>Paid office salaries by cheque ₹10,000.</t>
  </si>
  <si>
    <t>Purchased Motor car for business use from Motor Corps on credit for ₹25,000</t>
  </si>
  <si>
    <t>Bought furniture for cash 8,000.</t>
  </si>
  <si>
    <t>COGS / Average inventory</t>
  </si>
  <si>
    <t>Ideal Ratio is 2-4</t>
  </si>
  <si>
    <t>The working capital Turnover Ratio of 0.093 times is below the ideal range of 2-4 times</t>
  </si>
  <si>
    <t>The business is not using  its working capital efficiently to generate sales.</t>
  </si>
  <si>
    <t>Current asset /Current liabilities</t>
  </si>
  <si>
    <t>(Current assets-inventory-Prepaid Expenses)/Current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</si>
</sst>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0"/>
    <numFmt numFmtId="165" formatCode="_ * #,##0_ ;_ * \-#,##0_ ;_ * &quot;-&quot;??_ ;_ @_ "/>
    <numFmt numFmtId="166" formatCode="0.000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CCCCCC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3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0" fillId="0" borderId="0" xfId="0" applyNumberForma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5" fontId="0" fillId="0" borderId="1" xfId="2" applyNumberFormat="1" applyFont="1" applyBorder="1" applyAlignment="1">
      <alignment horizontal="center"/>
    </xf>
    <xf numFmtId="165" fontId="0" fillId="0" borderId="1" xfId="2" applyNumberFormat="1" applyFont="1" applyBorder="1"/>
    <xf numFmtId="165" fontId="1" fillId="0" borderId="1" xfId="2" applyNumberFormat="1" applyFont="1" applyBorder="1" applyAlignment="1">
      <alignment horizontal="center"/>
    </xf>
    <xf numFmtId="165" fontId="0" fillId="0" borderId="1" xfId="2" applyNumberFormat="1" applyFont="1" applyBorder="1" applyAlignment="1"/>
    <xf numFmtId="165" fontId="1" fillId="0" borderId="1" xfId="2" applyNumberFormat="1" applyFont="1" applyBorder="1" applyAlignment="1"/>
    <xf numFmtId="0" fontId="1" fillId="0" borderId="1" xfId="0" applyFont="1" applyBorder="1"/>
    <xf numFmtId="165" fontId="1" fillId="0" borderId="1" xfId="2" applyNumberFormat="1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17" fontId="8" fillId="4" borderId="1" xfId="0" applyNumberFormat="1" applyFont="1" applyFill="1" applyBorder="1" applyAlignment="1">
      <alignment horizontal="center"/>
    </xf>
    <xf numFmtId="0" fontId="9" fillId="4" borderId="1" xfId="0" applyFont="1" applyFill="1" applyBorder="1"/>
    <xf numFmtId="0" fontId="7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0" xfId="0" applyFill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4" xfId="0" applyFont="1" applyFill="1" applyBorder="1"/>
    <xf numFmtId="0" fontId="0" fillId="5" borderId="4" xfId="0" applyFill="1" applyBorder="1"/>
    <xf numFmtId="0" fontId="0" fillId="5" borderId="3" xfId="0" applyFill="1" applyBorder="1"/>
    <xf numFmtId="3" fontId="0" fillId="5" borderId="3" xfId="0" applyNumberFormat="1" applyFill="1" applyBorder="1"/>
    <xf numFmtId="0" fontId="1" fillId="5" borderId="3" xfId="0" applyFont="1" applyFill="1" applyBorder="1"/>
    <xf numFmtId="2" fontId="1" fillId="5" borderId="3" xfId="0" applyNumberFormat="1" applyFont="1" applyFill="1" applyBorder="1"/>
    <xf numFmtId="0" fontId="0" fillId="5" borderId="8" xfId="0" applyFill="1" applyBorder="1"/>
    <xf numFmtId="0" fontId="0" fillId="5" borderId="5" xfId="0" applyFill="1" applyBorder="1"/>
    <xf numFmtId="164" fontId="1" fillId="5" borderId="3" xfId="0" applyNumberFormat="1" applyFont="1" applyFill="1" applyBorder="1"/>
    <xf numFmtId="166" fontId="1" fillId="5" borderId="3" xfId="0" applyNumberFormat="1" applyFont="1" applyFill="1" applyBorder="1"/>
    <xf numFmtId="0" fontId="1" fillId="5" borderId="13" xfId="0" applyFont="1" applyFill="1" applyBorder="1"/>
    <xf numFmtId="0" fontId="0" fillId="5" borderId="7" xfId="0" applyFill="1" applyBorder="1"/>
    <xf numFmtId="0" fontId="0" fillId="5" borderId="9" xfId="0" applyFill="1" applyBorder="1" applyAlignment="1">
      <alignment horizontal="right"/>
    </xf>
    <xf numFmtId="3" fontId="0" fillId="5" borderId="14" xfId="0" applyNumberFormat="1" applyFill="1" applyBorder="1" applyAlignment="1">
      <alignment horizontal="right" wrapText="1"/>
    </xf>
    <xf numFmtId="3" fontId="0" fillId="5" borderId="11" xfId="0" applyNumberFormat="1" applyFill="1" applyBorder="1" applyAlignment="1">
      <alignment horizontal="right" wrapText="1"/>
    </xf>
    <xf numFmtId="0" fontId="1" fillId="5" borderId="10" xfId="0" applyFont="1" applyFill="1" applyBorder="1" applyAlignment="1">
      <alignment horizontal="left"/>
    </xf>
    <xf numFmtId="0" fontId="1" fillId="5" borderId="12" xfId="0" applyFont="1" applyFill="1" applyBorder="1" applyAlignment="1">
      <alignment horizontal="right" wrapText="1"/>
    </xf>
    <xf numFmtId="0" fontId="0" fillId="5" borderId="6" xfId="0" applyFill="1" applyBorder="1"/>
  </cellXfs>
  <cellStyles count="3">
    <cellStyle name="Comma 2" xfId="1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zoomScale="165" zoomScaleNormal="165" workbookViewId="0">
      <selection activeCell="C9" sqref="C9"/>
    </sheetView>
  </sheetViews>
  <sheetFormatPr defaultColWidth="8.9140625" defaultRowHeight="14"/>
  <cols>
    <col min="1" max="1" width="8.9140625" style="32" customWidth="1"/>
    <col min="2" max="2" width="72.4140625" style="31" customWidth="1"/>
    <col min="3" max="16384" width="8.9140625" style="31"/>
  </cols>
  <sheetData>
    <row r="1" spans="1:3" ht="18">
      <c r="A1" s="35" t="s">
        <v>257</v>
      </c>
      <c r="B1" s="35"/>
      <c r="C1" s="35"/>
    </row>
    <row r="3" spans="1:3" ht="15.5">
      <c r="A3" s="33">
        <v>37135</v>
      </c>
      <c r="B3" s="34" t="s">
        <v>258</v>
      </c>
    </row>
    <row r="4" spans="1:3" ht="15.5">
      <c r="A4" s="33">
        <v>37500</v>
      </c>
      <c r="B4" s="34" t="s">
        <v>259</v>
      </c>
    </row>
    <row r="5" spans="1:3" ht="15.5">
      <c r="A5" s="33">
        <v>37865</v>
      </c>
      <c r="B5" s="34" t="s">
        <v>286</v>
      </c>
    </row>
    <row r="6" spans="1:3" ht="15.5">
      <c r="A6" s="33">
        <v>38231</v>
      </c>
      <c r="B6" s="34" t="s">
        <v>287</v>
      </c>
    </row>
    <row r="7" spans="1:3" ht="15.5">
      <c r="A7" s="33">
        <v>38596</v>
      </c>
      <c r="B7" s="34" t="s">
        <v>260</v>
      </c>
    </row>
    <row r="8" spans="1:3" ht="15.5">
      <c r="A8" s="33">
        <v>39326</v>
      </c>
      <c r="B8" s="34" t="s">
        <v>261</v>
      </c>
    </row>
    <row r="9" spans="1:3" ht="15.5">
      <c r="A9" s="33">
        <v>39692</v>
      </c>
      <c r="B9" s="34" t="s">
        <v>262</v>
      </c>
    </row>
    <row r="10" spans="1:3" ht="15.5">
      <c r="A10" s="33">
        <v>40422</v>
      </c>
      <c r="B10" s="34" t="s">
        <v>263</v>
      </c>
    </row>
    <row r="11" spans="1:3" ht="15.5">
      <c r="A11" s="33">
        <v>40787</v>
      </c>
      <c r="B11" s="34" t="s">
        <v>264</v>
      </c>
    </row>
    <row r="12" spans="1:3" ht="15.5">
      <c r="A12" s="33">
        <v>41153</v>
      </c>
      <c r="B12" s="34" t="s">
        <v>265</v>
      </c>
    </row>
    <row r="13" spans="1:3" ht="15.5">
      <c r="A13" s="33">
        <v>41518</v>
      </c>
      <c r="B13" s="34" t="s">
        <v>266</v>
      </c>
    </row>
    <row r="14" spans="1:3" ht="15.5">
      <c r="A14" s="33">
        <v>41883</v>
      </c>
      <c r="B14" s="34" t="s">
        <v>267</v>
      </c>
    </row>
    <row r="15" spans="1:3" ht="15.5">
      <c r="A15" s="33">
        <v>42248</v>
      </c>
      <c r="B15" s="34" t="s">
        <v>268</v>
      </c>
    </row>
    <row r="16" spans="1:3" ht="15.5">
      <c r="A16" s="33">
        <v>42614</v>
      </c>
      <c r="B16" s="34" t="s">
        <v>269</v>
      </c>
    </row>
    <row r="17" spans="1:2" ht="15.5">
      <c r="A17" s="33">
        <v>42979</v>
      </c>
      <c r="B17" s="34" t="s">
        <v>270</v>
      </c>
    </row>
    <row r="18" spans="1:2" ht="15.5">
      <c r="A18" s="33">
        <v>43344</v>
      </c>
      <c r="B18" s="34" t="s">
        <v>271</v>
      </c>
    </row>
    <row r="19" spans="1:2" ht="15.5">
      <c r="A19" s="33">
        <v>43709</v>
      </c>
      <c r="B19" s="34" t="s">
        <v>272</v>
      </c>
    </row>
    <row r="20" spans="1:2" ht="15.5">
      <c r="A20" s="33">
        <v>44075</v>
      </c>
      <c r="B20" s="34" t="s">
        <v>273</v>
      </c>
    </row>
    <row r="21" spans="1:2" ht="15.5">
      <c r="A21" s="33">
        <v>44440</v>
      </c>
      <c r="B21" s="34" t="s">
        <v>274</v>
      </c>
    </row>
    <row r="22" spans="1:2" ht="15.5">
      <c r="A22" s="33">
        <v>44805</v>
      </c>
      <c r="B22" s="34" t="s">
        <v>275</v>
      </c>
    </row>
    <row r="23" spans="1:2" ht="15.5">
      <c r="A23" s="33">
        <v>45170</v>
      </c>
      <c r="B23" s="34" t="s">
        <v>276</v>
      </c>
    </row>
    <row r="24" spans="1:2" ht="15.5">
      <c r="A24" s="33">
        <v>45536</v>
      </c>
      <c r="B24" s="34" t="s">
        <v>277</v>
      </c>
    </row>
    <row r="25" spans="1:2" ht="15.5">
      <c r="A25" s="33">
        <v>45901</v>
      </c>
      <c r="B25" s="34" t="s">
        <v>278</v>
      </c>
    </row>
    <row r="26" spans="1:2" ht="15.5">
      <c r="A26" s="33">
        <v>46266</v>
      </c>
      <c r="B26" s="34" t="s">
        <v>279</v>
      </c>
    </row>
    <row r="27" spans="1:2" ht="15.5">
      <c r="A27" s="33">
        <v>46631</v>
      </c>
      <c r="B27" s="34" t="s">
        <v>280</v>
      </c>
    </row>
    <row r="28" spans="1:2" ht="15.5">
      <c r="A28" s="33">
        <v>46997</v>
      </c>
      <c r="B28" s="34" t="s">
        <v>281</v>
      </c>
    </row>
    <row r="29" spans="1:2" ht="15.5">
      <c r="A29" s="33">
        <v>46997</v>
      </c>
      <c r="B29" s="34" t="s">
        <v>282</v>
      </c>
    </row>
    <row r="30" spans="1:2" ht="15.5">
      <c r="A30" s="33">
        <v>47362</v>
      </c>
      <c r="B30" s="34" t="s">
        <v>283</v>
      </c>
    </row>
    <row r="31" spans="1:2" ht="15.5">
      <c r="A31" s="33">
        <v>47727</v>
      </c>
      <c r="B31" s="34" t="s">
        <v>284</v>
      </c>
    </row>
    <row r="32" spans="1:2" ht="15.5">
      <c r="A32" s="33">
        <v>47727</v>
      </c>
      <c r="B32" s="34" t="s">
        <v>285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zoomScale="110" workbookViewId="0">
      <selection activeCell="A3" sqref="A3:F3"/>
    </sheetView>
  </sheetViews>
  <sheetFormatPr defaultRowHeight="14"/>
  <cols>
    <col min="1" max="1" width="16.08203125" style="2" customWidth="1"/>
    <col min="2" max="2" width="35.9140625" customWidth="1"/>
    <col min="3" max="3" width="8.9140625" style="2"/>
    <col min="5" max="6" width="11.58203125" style="2" customWidth="1"/>
  </cols>
  <sheetData>
    <row r="1" spans="1:6">
      <c r="A1" s="36" t="s">
        <v>0</v>
      </c>
      <c r="B1" s="36"/>
      <c r="C1" s="36"/>
      <c r="D1" s="36"/>
      <c r="E1" s="36"/>
      <c r="F1" s="36"/>
    </row>
    <row r="3" spans="1:6" s="1" customFormat="1">
      <c r="A3" s="11" t="s">
        <v>1</v>
      </c>
      <c r="B3" s="11" t="s">
        <v>2</v>
      </c>
      <c r="C3" s="11"/>
      <c r="D3" s="11" t="s">
        <v>3</v>
      </c>
      <c r="E3" s="11" t="s">
        <v>4</v>
      </c>
      <c r="F3" s="11" t="s">
        <v>5</v>
      </c>
    </row>
    <row r="4" spans="1:6">
      <c r="A4" s="4">
        <v>46113</v>
      </c>
      <c r="B4" s="5" t="s">
        <v>6</v>
      </c>
      <c r="C4" s="6" t="s">
        <v>9</v>
      </c>
      <c r="D4" s="5"/>
      <c r="E4" s="7">
        <v>800000</v>
      </c>
      <c r="F4" s="6"/>
    </row>
    <row r="5" spans="1:6">
      <c r="A5" s="6"/>
      <c r="B5" s="5" t="s">
        <v>7</v>
      </c>
      <c r="C5" s="6"/>
      <c r="D5" s="5"/>
      <c r="E5" s="6"/>
      <c r="F5" s="7">
        <v>800000</v>
      </c>
    </row>
    <row r="6" spans="1:6">
      <c r="A6" s="6"/>
      <c r="B6" s="5" t="s">
        <v>8</v>
      </c>
      <c r="C6" s="6"/>
      <c r="D6" s="5"/>
      <c r="E6" s="6"/>
      <c r="F6" s="6"/>
    </row>
    <row r="7" spans="1:6">
      <c r="A7" s="4">
        <v>46114</v>
      </c>
      <c r="B7" s="5" t="s">
        <v>10</v>
      </c>
      <c r="C7" s="6" t="s">
        <v>9</v>
      </c>
      <c r="D7" s="5"/>
      <c r="E7" s="7">
        <v>450000</v>
      </c>
      <c r="F7" s="6"/>
    </row>
    <row r="8" spans="1:6">
      <c r="A8" s="6"/>
      <c r="B8" s="5" t="s">
        <v>11</v>
      </c>
      <c r="C8" s="6"/>
      <c r="D8" s="5"/>
      <c r="E8" s="6"/>
      <c r="F8" s="7">
        <v>450000</v>
      </c>
    </row>
    <row r="9" spans="1:6">
      <c r="A9" s="6"/>
      <c r="B9" s="5" t="s">
        <v>15</v>
      </c>
      <c r="C9" s="6"/>
      <c r="D9" s="5"/>
      <c r="E9" s="6"/>
      <c r="F9" s="6"/>
    </row>
    <row r="10" spans="1:6">
      <c r="A10" s="4">
        <v>46115</v>
      </c>
      <c r="B10" s="5" t="s">
        <v>12</v>
      </c>
      <c r="C10" s="6" t="s">
        <v>9</v>
      </c>
      <c r="D10" s="5"/>
      <c r="E10" s="7">
        <v>30000</v>
      </c>
      <c r="F10" s="6"/>
    </row>
    <row r="11" spans="1:6">
      <c r="A11" s="6"/>
      <c r="B11" s="5" t="s">
        <v>13</v>
      </c>
      <c r="C11" s="6"/>
      <c r="D11" s="5"/>
      <c r="E11" s="6"/>
      <c r="F11" s="7">
        <v>30000</v>
      </c>
    </row>
    <row r="12" spans="1:6">
      <c r="A12" s="6"/>
      <c r="B12" s="5" t="s">
        <v>14</v>
      </c>
      <c r="C12" s="6"/>
      <c r="D12" s="5"/>
      <c r="E12" s="6"/>
      <c r="F12" s="6"/>
    </row>
    <row r="13" spans="1:6">
      <c r="A13" s="4">
        <v>46116</v>
      </c>
      <c r="B13" s="5" t="s">
        <v>19</v>
      </c>
      <c r="C13" s="6" t="s">
        <v>9</v>
      </c>
      <c r="D13" s="5"/>
      <c r="E13" s="7">
        <v>75000</v>
      </c>
      <c r="F13" s="6"/>
    </row>
    <row r="14" spans="1:6">
      <c r="A14" s="6"/>
      <c r="B14" s="5" t="s">
        <v>11</v>
      </c>
      <c r="C14" s="6"/>
      <c r="D14" s="5"/>
      <c r="E14" s="6"/>
      <c r="F14" s="7">
        <v>75000</v>
      </c>
    </row>
    <row r="15" spans="1:6">
      <c r="A15" s="6"/>
      <c r="B15" s="5" t="s">
        <v>16</v>
      </c>
      <c r="C15" s="6"/>
      <c r="D15" s="5"/>
      <c r="E15" s="6"/>
      <c r="F15" s="6"/>
    </row>
    <row r="16" spans="1:6">
      <c r="A16" s="4">
        <v>46117</v>
      </c>
      <c r="B16" s="5" t="s">
        <v>17</v>
      </c>
      <c r="C16" s="6" t="s">
        <v>9</v>
      </c>
      <c r="D16" s="5"/>
      <c r="E16" s="7">
        <v>55000</v>
      </c>
      <c r="F16" s="6"/>
    </row>
    <row r="17" spans="1:6">
      <c r="A17" s="6"/>
      <c r="B17" s="5" t="s">
        <v>18</v>
      </c>
      <c r="C17" s="6"/>
      <c r="D17" s="5"/>
      <c r="E17" s="6"/>
      <c r="F17" s="7">
        <v>55000</v>
      </c>
    </row>
    <row r="18" spans="1:6">
      <c r="A18" s="6"/>
      <c r="B18" s="5" t="s">
        <v>24</v>
      </c>
      <c r="C18" s="6"/>
      <c r="D18" s="5"/>
      <c r="E18" s="6"/>
      <c r="F18" s="6"/>
    </row>
    <row r="19" spans="1:6">
      <c r="A19" s="4">
        <v>46118</v>
      </c>
      <c r="B19" s="5" t="s">
        <v>20</v>
      </c>
      <c r="C19" s="6" t="s">
        <v>9</v>
      </c>
      <c r="D19" s="5"/>
      <c r="E19" s="7">
        <v>2500</v>
      </c>
      <c r="F19" s="6"/>
    </row>
    <row r="20" spans="1:6">
      <c r="A20" s="6"/>
      <c r="B20" s="5" t="s">
        <v>11</v>
      </c>
      <c r="C20" s="6"/>
      <c r="D20" s="5"/>
      <c r="E20" s="6"/>
      <c r="F20" s="7">
        <v>2500</v>
      </c>
    </row>
    <row r="21" spans="1:6">
      <c r="A21" s="6"/>
      <c r="B21" s="5" t="s">
        <v>23</v>
      </c>
      <c r="C21" s="6"/>
      <c r="D21" s="5"/>
      <c r="E21" s="6"/>
      <c r="F21" s="6"/>
    </row>
    <row r="22" spans="1:6">
      <c r="A22" s="4">
        <v>46120</v>
      </c>
      <c r="B22" s="5" t="s">
        <v>21</v>
      </c>
      <c r="C22" s="6" t="s">
        <v>9</v>
      </c>
      <c r="D22" s="5"/>
      <c r="E22" s="7">
        <v>15000</v>
      </c>
      <c r="F22" s="6"/>
    </row>
    <row r="23" spans="1:6">
      <c r="A23" s="6"/>
      <c r="B23" s="5" t="s">
        <v>11</v>
      </c>
      <c r="C23" s="6"/>
      <c r="D23" s="5"/>
      <c r="E23" s="6"/>
      <c r="F23" s="7">
        <v>15000</v>
      </c>
    </row>
    <row r="24" spans="1:6">
      <c r="A24" s="6"/>
      <c r="B24" s="5" t="s">
        <v>22</v>
      </c>
      <c r="C24" s="6"/>
      <c r="D24" s="5"/>
      <c r="E24" s="6"/>
      <c r="F24" s="6"/>
    </row>
    <row r="25" spans="1:6">
      <c r="A25" s="4">
        <v>46122</v>
      </c>
      <c r="B25" s="5" t="s">
        <v>25</v>
      </c>
      <c r="C25" s="6" t="s">
        <v>9</v>
      </c>
      <c r="D25" s="5"/>
      <c r="E25" s="7">
        <v>4800</v>
      </c>
      <c r="F25" s="6"/>
    </row>
    <row r="26" spans="1:6">
      <c r="A26" s="6"/>
      <c r="B26" s="5" t="s">
        <v>26</v>
      </c>
      <c r="C26" s="6"/>
      <c r="D26" s="5"/>
      <c r="E26" s="6"/>
      <c r="F26" s="7">
        <v>4800</v>
      </c>
    </row>
    <row r="27" spans="1:6">
      <c r="A27" s="6"/>
      <c r="B27" s="5" t="s">
        <v>27</v>
      </c>
      <c r="C27" s="6"/>
      <c r="D27" s="5"/>
      <c r="E27" s="6"/>
      <c r="F27" s="6"/>
    </row>
    <row r="28" spans="1:6">
      <c r="A28" s="4">
        <v>46124</v>
      </c>
      <c r="B28" s="5" t="s">
        <v>28</v>
      </c>
      <c r="C28" s="6" t="s">
        <v>9</v>
      </c>
      <c r="D28" s="5"/>
      <c r="E28" s="7">
        <v>3000</v>
      </c>
      <c r="F28" s="6"/>
    </row>
    <row r="29" spans="1:6">
      <c r="A29" s="6"/>
      <c r="B29" s="5" t="s">
        <v>11</v>
      </c>
      <c r="C29" s="6"/>
      <c r="D29" s="5"/>
      <c r="E29" s="6"/>
      <c r="F29" s="7">
        <v>3000</v>
      </c>
    </row>
    <row r="30" spans="1:6">
      <c r="A30" s="6"/>
      <c r="B30" s="5" t="s">
        <v>29</v>
      </c>
      <c r="C30" s="6"/>
      <c r="D30" s="5"/>
      <c r="E30" s="6"/>
      <c r="F30" s="6"/>
    </row>
    <row r="31" spans="1:6">
      <c r="A31" s="4">
        <v>46127</v>
      </c>
      <c r="B31" s="5" t="s">
        <v>6</v>
      </c>
      <c r="C31" s="6" t="s">
        <v>9</v>
      </c>
      <c r="D31" s="5"/>
      <c r="E31" s="7">
        <v>5500</v>
      </c>
      <c r="F31" s="6"/>
    </row>
    <row r="32" spans="1:6">
      <c r="A32" s="6"/>
      <c r="B32" s="5" t="s">
        <v>26</v>
      </c>
      <c r="C32" s="6"/>
      <c r="D32" s="5"/>
      <c r="E32" s="6"/>
      <c r="F32" s="7">
        <v>5500</v>
      </c>
    </row>
    <row r="33" spans="1:6">
      <c r="A33" s="6"/>
      <c r="B33" s="5" t="s">
        <v>30</v>
      </c>
      <c r="C33" s="6"/>
      <c r="D33" s="5"/>
      <c r="E33" s="6"/>
      <c r="F33" s="6"/>
    </row>
    <row r="34" spans="1:6">
      <c r="A34" s="4">
        <v>46130</v>
      </c>
      <c r="B34" s="5" t="s">
        <v>31</v>
      </c>
      <c r="C34" s="6" t="s">
        <v>9</v>
      </c>
      <c r="D34" s="5"/>
      <c r="E34" s="7">
        <v>2200</v>
      </c>
      <c r="F34" s="6"/>
    </row>
    <row r="35" spans="1:6">
      <c r="A35" s="6"/>
      <c r="B35" s="5" t="s">
        <v>11</v>
      </c>
      <c r="C35" s="6"/>
      <c r="D35" s="5"/>
      <c r="E35" s="6"/>
      <c r="F35" s="7">
        <v>2200</v>
      </c>
    </row>
    <row r="36" spans="1:6">
      <c r="A36" s="6"/>
      <c r="B36" s="5" t="s">
        <v>32</v>
      </c>
      <c r="C36" s="6"/>
      <c r="D36" s="5"/>
      <c r="E36" s="6"/>
      <c r="F36" s="6"/>
    </row>
    <row r="37" spans="1:6">
      <c r="A37" s="4">
        <v>46132</v>
      </c>
      <c r="B37" s="5" t="s">
        <v>33</v>
      </c>
      <c r="C37" s="6" t="s">
        <v>9</v>
      </c>
      <c r="D37" s="5"/>
      <c r="E37" s="7">
        <v>8000</v>
      </c>
      <c r="F37" s="6"/>
    </row>
    <row r="38" spans="1:6">
      <c r="A38" s="6"/>
      <c r="B38" s="5" t="s">
        <v>34</v>
      </c>
      <c r="C38" s="6"/>
      <c r="D38" s="5"/>
      <c r="E38" s="6"/>
      <c r="F38" s="7">
        <v>8000</v>
      </c>
    </row>
    <row r="39" spans="1:6">
      <c r="A39" s="6"/>
      <c r="B39" s="5" t="s">
        <v>35</v>
      </c>
      <c r="C39" s="6"/>
      <c r="D39" s="5"/>
      <c r="E39" s="6"/>
      <c r="F39" s="6"/>
    </row>
    <row r="40" spans="1:6">
      <c r="A40" s="4">
        <v>46134</v>
      </c>
      <c r="B40" s="5" t="s">
        <v>25</v>
      </c>
      <c r="C40" s="6" t="s">
        <v>9</v>
      </c>
      <c r="D40" s="5"/>
      <c r="E40" s="7">
        <v>6300</v>
      </c>
      <c r="F40" s="6"/>
    </row>
    <row r="41" spans="1:6">
      <c r="A41" s="6"/>
      <c r="B41" s="5" t="s">
        <v>26</v>
      </c>
      <c r="C41" s="6"/>
      <c r="D41" s="5"/>
      <c r="E41" s="6"/>
      <c r="F41" s="7">
        <v>6300</v>
      </c>
    </row>
    <row r="42" spans="1:6">
      <c r="A42" s="6"/>
      <c r="B42" s="5" t="s">
        <v>36</v>
      </c>
      <c r="C42" s="6"/>
      <c r="D42" s="5"/>
      <c r="E42" s="6"/>
      <c r="F42" s="6"/>
    </row>
    <row r="43" spans="1:6">
      <c r="A43" s="4">
        <v>46137</v>
      </c>
      <c r="B43" s="5" t="s">
        <v>37</v>
      </c>
      <c r="C43" s="6" t="s">
        <v>9</v>
      </c>
      <c r="D43" s="5"/>
      <c r="E43" s="7">
        <v>8000</v>
      </c>
      <c r="F43" s="6"/>
    </row>
    <row r="44" spans="1:6">
      <c r="A44" s="6"/>
      <c r="B44" s="5" t="s">
        <v>11</v>
      </c>
      <c r="C44" s="6"/>
      <c r="D44" s="5"/>
      <c r="E44" s="6"/>
      <c r="F44" s="7">
        <v>8000</v>
      </c>
    </row>
    <row r="45" spans="1:6">
      <c r="A45" s="6"/>
      <c r="B45" s="5" t="s">
        <v>32</v>
      </c>
      <c r="C45" s="6"/>
      <c r="D45" s="5"/>
      <c r="E45" s="6"/>
      <c r="F45" s="6"/>
    </row>
    <row r="46" spans="1:6">
      <c r="A46" s="4">
        <v>46138</v>
      </c>
      <c r="B46" s="5" t="s">
        <v>38</v>
      </c>
      <c r="C46" s="6" t="s">
        <v>9</v>
      </c>
      <c r="D46" s="5"/>
      <c r="E46" s="6">
        <v>800</v>
      </c>
      <c r="F46" s="6"/>
    </row>
    <row r="47" spans="1:6">
      <c r="A47" s="6"/>
      <c r="B47" s="5" t="s">
        <v>11</v>
      </c>
      <c r="C47" s="6"/>
      <c r="D47" s="5"/>
      <c r="E47" s="6"/>
      <c r="F47" s="6">
        <v>800</v>
      </c>
    </row>
    <row r="48" spans="1:6">
      <c r="A48" s="6"/>
      <c r="B48" s="5" t="s">
        <v>23</v>
      </c>
      <c r="C48" s="6"/>
      <c r="D48" s="5"/>
      <c r="E48" s="6"/>
      <c r="F48" s="6"/>
    </row>
    <row r="49" spans="1:6">
      <c r="A49" s="4">
        <v>46140</v>
      </c>
      <c r="B49" s="5" t="s">
        <v>25</v>
      </c>
      <c r="C49" s="6" t="s">
        <v>9</v>
      </c>
      <c r="D49" s="5"/>
      <c r="E49" s="7">
        <v>7100</v>
      </c>
      <c r="F49" s="6"/>
    </row>
    <row r="50" spans="1:6">
      <c r="A50" s="6"/>
      <c r="B50" s="5" t="s">
        <v>26</v>
      </c>
      <c r="C50" s="6"/>
      <c r="D50" s="5"/>
      <c r="E50" s="6"/>
      <c r="F50" s="7">
        <v>7100</v>
      </c>
    </row>
    <row r="51" spans="1:6">
      <c r="A51" s="6"/>
      <c r="B51" s="5" t="s">
        <v>36</v>
      </c>
      <c r="C51" s="6"/>
      <c r="D51" s="5"/>
      <c r="E51" s="6"/>
      <c r="F51" s="6"/>
    </row>
    <row r="52" spans="1:6">
      <c r="A52" s="4">
        <v>46142</v>
      </c>
      <c r="B52" s="5" t="s">
        <v>39</v>
      </c>
      <c r="C52" s="6" t="s">
        <v>9</v>
      </c>
      <c r="D52" s="5"/>
      <c r="E52" s="7">
        <v>24000</v>
      </c>
      <c r="F52" s="6"/>
    </row>
    <row r="53" spans="1:6">
      <c r="A53" s="6"/>
      <c r="B53" s="5" t="s">
        <v>11</v>
      </c>
      <c r="C53" s="6"/>
      <c r="D53" s="5"/>
      <c r="E53" s="6"/>
      <c r="F53" s="7">
        <v>24000</v>
      </c>
    </row>
    <row r="54" spans="1:6">
      <c r="A54" s="6"/>
      <c r="B54" s="5" t="s">
        <v>40</v>
      </c>
      <c r="C54" s="6"/>
      <c r="D54" s="5"/>
      <c r="E54" s="6"/>
      <c r="F54" s="6"/>
    </row>
    <row r="56" spans="1:6">
      <c r="A56" s="37" t="s">
        <v>41</v>
      </c>
      <c r="B56" s="37"/>
      <c r="C56" s="37"/>
      <c r="D56" s="37"/>
      <c r="E56" s="37"/>
      <c r="F56" s="37"/>
    </row>
    <row r="58" spans="1:6">
      <c r="A58" s="4">
        <v>46143</v>
      </c>
      <c r="B58" s="5" t="s">
        <v>42</v>
      </c>
      <c r="C58" s="6" t="s">
        <v>9</v>
      </c>
      <c r="D58" s="5"/>
      <c r="E58" s="7">
        <v>30000</v>
      </c>
      <c r="F58" s="6"/>
    </row>
    <row r="59" spans="1:6">
      <c r="A59" s="6"/>
      <c r="B59" s="5" t="s">
        <v>13</v>
      </c>
      <c r="C59" s="6"/>
      <c r="D59" s="5"/>
      <c r="E59" s="6"/>
      <c r="F59" s="7">
        <v>30000</v>
      </c>
    </row>
    <row r="60" spans="1:6">
      <c r="A60" s="6"/>
      <c r="B60" s="5" t="s">
        <v>43</v>
      </c>
      <c r="C60" s="6"/>
      <c r="D60" s="5"/>
      <c r="E60" s="6"/>
      <c r="F60" s="6"/>
    </row>
    <row r="61" spans="1:6">
      <c r="A61" s="4">
        <v>46145</v>
      </c>
      <c r="B61" s="5" t="s">
        <v>33</v>
      </c>
      <c r="C61" s="6" t="s">
        <v>9</v>
      </c>
      <c r="D61" s="5"/>
      <c r="E61" s="7">
        <v>16000</v>
      </c>
      <c r="F61" s="6"/>
    </row>
    <row r="62" spans="1:6">
      <c r="A62" s="6"/>
      <c r="B62" s="5" t="s">
        <v>11</v>
      </c>
      <c r="C62" s="6"/>
      <c r="D62" s="5"/>
      <c r="E62" s="6"/>
      <c r="F62" s="7">
        <v>16000</v>
      </c>
    </row>
    <row r="63" spans="1:6">
      <c r="A63" s="6"/>
      <c r="B63" s="5" t="s">
        <v>44</v>
      </c>
      <c r="C63" s="6"/>
      <c r="D63" s="5"/>
      <c r="E63" s="6"/>
      <c r="F63" s="6"/>
    </row>
    <row r="64" spans="1:6">
      <c r="A64" s="4">
        <v>46147</v>
      </c>
      <c r="B64" s="5" t="s">
        <v>45</v>
      </c>
      <c r="C64" s="6" t="s">
        <v>9</v>
      </c>
      <c r="D64" s="5"/>
      <c r="E64" s="7">
        <v>30000</v>
      </c>
      <c r="F64" s="6"/>
    </row>
    <row r="65" spans="1:6">
      <c r="A65" s="6"/>
      <c r="B65" s="5" t="s">
        <v>46</v>
      </c>
      <c r="C65" s="6"/>
      <c r="D65" s="5"/>
      <c r="E65" s="6"/>
      <c r="F65" s="7">
        <v>30000</v>
      </c>
    </row>
    <row r="66" spans="1:6">
      <c r="A66" s="6"/>
      <c r="B66" s="5" t="s">
        <v>47</v>
      </c>
      <c r="C66" s="6"/>
      <c r="D66" s="5"/>
      <c r="E66" s="6"/>
      <c r="F66" s="6"/>
    </row>
    <row r="67" spans="1:6">
      <c r="A67" s="4">
        <v>46150</v>
      </c>
      <c r="B67" s="5" t="s">
        <v>25</v>
      </c>
      <c r="C67" s="6" t="s">
        <v>9</v>
      </c>
      <c r="D67" s="5"/>
      <c r="E67" s="7">
        <v>8200</v>
      </c>
      <c r="F67" s="6"/>
    </row>
    <row r="68" spans="1:6">
      <c r="A68" s="6"/>
      <c r="B68" s="5" t="s">
        <v>48</v>
      </c>
      <c r="C68" s="6"/>
      <c r="D68" s="5"/>
      <c r="E68" s="6"/>
      <c r="F68" s="7">
        <v>8200</v>
      </c>
    </row>
    <row r="69" spans="1:6">
      <c r="A69" s="6"/>
      <c r="B69" s="5" t="s">
        <v>49</v>
      </c>
      <c r="C69" s="6"/>
      <c r="D69" s="5"/>
      <c r="E69" s="6"/>
      <c r="F69" s="6"/>
    </row>
    <row r="70" spans="1:6">
      <c r="A70" s="4">
        <v>46152</v>
      </c>
      <c r="B70" s="5" t="s">
        <v>50</v>
      </c>
      <c r="C70" s="6" t="s">
        <v>9</v>
      </c>
      <c r="D70" s="5"/>
      <c r="E70" s="7">
        <v>1499</v>
      </c>
      <c r="F70" s="6"/>
    </row>
    <row r="71" spans="1:6">
      <c r="A71" s="6"/>
      <c r="B71" s="5" t="s">
        <v>11</v>
      </c>
      <c r="C71" s="6"/>
      <c r="D71" s="5"/>
      <c r="E71" s="6"/>
      <c r="F71" s="7">
        <v>1499</v>
      </c>
    </row>
    <row r="72" spans="1:6">
      <c r="A72" s="6"/>
      <c r="B72" s="5" t="s">
        <v>51</v>
      </c>
      <c r="C72" s="6"/>
      <c r="D72" s="5"/>
      <c r="E72" s="6"/>
      <c r="F72" s="6"/>
    </row>
    <row r="73" spans="1:6">
      <c r="A73" s="4">
        <v>46154</v>
      </c>
      <c r="B73" s="5" t="s">
        <v>52</v>
      </c>
      <c r="C73" s="6" t="s">
        <v>9</v>
      </c>
      <c r="D73" s="5"/>
      <c r="E73" s="7">
        <v>4000</v>
      </c>
      <c r="F73" s="6"/>
    </row>
    <row r="74" spans="1:6">
      <c r="A74" s="6"/>
      <c r="B74" s="5" t="s">
        <v>11</v>
      </c>
      <c r="C74" s="6"/>
      <c r="D74" s="5"/>
      <c r="E74" s="6"/>
      <c r="F74" s="7">
        <v>4000</v>
      </c>
    </row>
    <row r="75" spans="1:6">
      <c r="A75" s="6"/>
      <c r="B75" s="5" t="s">
        <v>53</v>
      </c>
      <c r="C75" s="6"/>
      <c r="D75" s="5"/>
      <c r="E75" s="6"/>
      <c r="F75" s="6"/>
    </row>
    <row r="76" spans="1:6">
      <c r="A76" s="4">
        <v>46157</v>
      </c>
      <c r="B76" s="5" t="s">
        <v>25</v>
      </c>
      <c r="C76" s="6" t="s">
        <v>9</v>
      </c>
      <c r="D76" s="5"/>
      <c r="E76" s="7">
        <v>9500</v>
      </c>
      <c r="F76" s="6"/>
    </row>
    <row r="77" spans="1:6">
      <c r="A77" s="6"/>
      <c r="B77" s="5" t="s">
        <v>48</v>
      </c>
      <c r="C77" s="6"/>
      <c r="D77" s="5"/>
      <c r="E77" s="6"/>
      <c r="F77" s="7">
        <v>9500</v>
      </c>
    </row>
    <row r="78" spans="1:6">
      <c r="A78" s="6"/>
      <c r="B78" s="5" t="s">
        <v>54</v>
      </c>
      <c r="C78" s="6"/>
      <c r="D78" s="5"/>
      <c r="E78" s="6"/>
      <c r="F78" s="6"/>
    </row>
    <row r="79" spans="1:6">
      <c r="A79" s="4">
        <v>46160</v>
      </c>
      <c r="B79" s="5" t="s">
        <v>55</v>
      </c>
      <c r="C79" s="6" t="s">
        <v>9</v>
      </c>
      <c r="D79" s="5"/>
      <c r="E79" s="7">
        <v>9800</v>
      </c>
      <c r="F79" s="6"/>
    </row>
    <row r="80" spans="1:6">
      <c r="A80" s="6"/>
      <c r="B80" s="5" t="s">
        <v>11</v>
      </c>
      <c r="C80" s="6"/>
      <c r="D80" s="5"/>
      <c r="E80" s="6"/>
      <c r="F80" s="7">
        <v>9800</v>
      </c>
    </row>
    <row r="81" spans="1:6">
      <c r="A81" s="6"/>
      <c r="B81" s="5" t="s">
        <v>56</v>
      </c>
      <c r="C81" s="6"/>
      <c r="D81" s="5"/>
      <c r="E81" s="6"/>
      <c r="F81" s="6"/>
    </row>
    <row r="82" spans="1:6">
      <c r="A82" s="4">
        <v>46162</v>
      </c>
      <c r="B82" s="5" t="s">
        <v>57</v>
      </c>
      <c r="C82" s="6" t="s">
        <v>9</v>
      </c>
      <c r="D82" s="5"/>
      <c r="E82" s="7">
        <v>2500</v>
      </c>
      <c r="F82" s="6"/>
    </row>
    <row r="83" spans="1:6">
      <c r="A83" s="6"/>
      <c r="B83" s="5" t="s">
        <v>58</v>
      </c>
      <c r="C83" s="6"/>
      <c r="D83" s="5"/>
      <c r="E83" s="6"/>
      <c r="F83" s="7">
        <v>2500</v>
      </c>
    </row>
    <row r="84" spans="1:6">
      <c r="A84" s="6"/>
      <c r="B84" s="5" t="s">
        <v>47</v>
      </c>
      <c r="C84" s="6"/>
      <c r="D84" s="5"/>
      <c r="E84" s="6"/>
      <c r="F84" s="6"/>
    </row>
    <row r="85" spans="1:6">
      <c r="A85" s="4">
        <v>46164</v>
      </c>
      <c r="B85" s="5" t="s">
        <v>25</v>
      </c>
      <c r="C85" s="6" t="s">
        <v>9</v>
      </c>
      <c r="D85" s="5"/>
      <c r="E85" s="7">
        <v>8800</v>
      </c>
      <c r="F85" s="6"/>
    </row>
    <row r="86" spans="1:6">
      <c r="A86" s="6"/>
      <c r="B86" s="5" t="s">
        <v>48</v>
      </c>
      <c r="C86" s="6"/>
      <c r="D86" s="5"/>
      <c r="E86" s="6"/>
      <c r="F86" s="7">
        <v>8800</v>
      </c>
    </row>
    <row r="87" spans="1:6">
      <c r="A87" s="6"/>
      <c r="B87" s="5" t="s">
        <v>36</v>
      </c>
      <c r="C87" s="6"/>
      <c r="D87" s="5"/>
      <c r="E87" s="6"/>
      <c r="F87" s="6"/>
    </row>
    <row r="88" spans="1:6">
      <c r="A88" s="4">
        <v>46167</v>
      </c>
      <c r="B88" s="5" t="s">
        <v>25</v>
      </c>
      <c r="C88" s="6" t="s">
        <v>9</v>
      </c>
      <c r="D88" s="5"/>
      <c r="E88" s="7">
        <v>10000</v>
      </c>
      <c r="F88" s="6"/>
    </row>
    <row r="89" spans="1:6">
      <c r="A89" s="6"/>
      <c r="B89" s="5" t="s">
        <v>13</v>
      </c>
      <c r="C89" s="6"/>
      <c r="D89" s="5"/>
      <c r="E89" s="6"/>
      <c r="F89" s="7">
        <v>10000</v>
      </c>
    </row>
    <row r="90" spans="1:6">
      <c r="A90" s="6"/>
      <c r="B90" s="5" t="s">
        <v>59</v>
      </c>
      <c r="C90" s="6"/>
      <c r="D90" s="5"/>
      <c r="E90" s="6"/>
      <c r="F90" s="6"/>
    </row>
    <row r="91" spans="1:6">
      <c r="A91" s="4">
        <v>46170</v>
      </c>
      <c r="B91" s="5" t="s">
        <v>60</v>
      </c>
      <c r="C91" s="6" t="s">
        <v>9</v>
      </c>
      <c r="D91" s="5"/>
      <c r="E91" s="7">
        <v>2500</v>
      </c>
      <c r="F91" s="6"/>
    </row>
    <row r="92" spans="1:6">
      <c r="A92" s="6"/>
      <c r="B92" s="5" t="s">
        <v>11</v>
      </c>
      <c r="C92" s="6"/>
      <c r="D92" s="5"/>
      <c r="E92" s="6"/>
      <c r="F92" s="7">
        <v>2500</v>
      </c>
    </row>
    <row r="93" spans="1:6">
      <c r="A93" s="6"/>
      <c r="B93" s="5" t="s">
        <v>61</v>
      </c>
      <c r="C93" s="6"/>
      <c r="D93" s="5"/>
      <c r="E93" s="6"/>
      <c r="F93" s="6"/>
    </row>
    <row r="94" spans="1:6">
      <c r="A94" s="4">
        <v>46172</v>
      </c>
      <c r="B94" s="5" t="s">
        <v>62</v>
      </c>
      <c r="C94" s="6" t="s">
        <v>9</v>
      </c>
      <c r="D94" s="5"/>
      <c r="E94" s="7">
        <v>3000</v>
      </c>
      <c r="F94" s="6"/>
    </row>
    <row r="95" spans="1:6">
      <c r="A95" s="6"/>
      <c r="B95" s="5" t="s">
        <v>11</v>
      </c>
      <c r="C95" s="6"/>
      <c r="D95" s="5"/>
      <c r="E95" s="6"/>
      <c r="F95" s="7">
        <v>3000</v>
      </c>
    </row>
    <row r="96" spans="1:6">
      <c r="A96" s="6"/>
      <c r="B96" s="5" t="s">
        <v>47</v>
      </c>
      <c r="C96" s="6"/>
      <c r="D96" s="5"/>
      <c r="E96" s="6"/>
      <c r="F96" s="6"/>
    </row>
    <row r="97" spans="1:6">
      <c r="A97" s="4">
        <v>46173</v>
      </c>
      <c r="B97" s="5" t="s">
        <v>39</v>
      </c>
      <c r="C97" s="6" t="s">
        <v>9</v>
      </c>
      <c r="D97" s="5"/>
      <c r="E97" s="7">
        <v>24000</v>
      </c>
      <c r="F97" s="6"/>
    </row>
    <row r="98" spans="1:6">
      <c r="A98" s="6"/>
      <c r="B98" s="5" t="s">
        <v>11</v>
      </c>
      <c r="C98" s="6"/>
      <c r="D98" s="5"/>
      <c r="E98" s="6"/>
      <c r="F98" s="7">
        <v>24000</v>
      </c>
    </row>
    <row r="99" spans="1:6">
      <c r="A99" s="6"/>
      <c r="B99" s="5" t="s">
        <v>63</v>
      </c>
      <c r="C99" s="6"/>
      <c r="D99" s="5"/>
      <c r="E99" s="6"/>
      <c r="F99" s="6"/>
    </row>
  </sheetData>
  <mergeCells count="2">
    <mergeCell ref="A1:F1"/>
    <mergeCell ref="A56:F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zoomScale="107" workbookViewId="0">
      <selection activeCell="B1" sqref="B1:K1"/>
    </sheetView>
  </sheetViews>
  <sheetFormatPr defaultRowHeight="14"/>
  <cols>
    <col min="1" max="1" width="8.9140625" style="18"/>
    <col min="2" max="2" width="12.6640625" style="2" customWidth="1"/>
    <col min="3" max="3" width="29.75" customWidth="1"/>
    <col min="5" max="5" width="13.08203125" customWidth="1"/>
    <col min="6" max="6" width="14.58203125" style="2" customWidth="1"/>
    <col min="7" max="7" width="13.9140625" style="2" customWidth="1"/>
    <col min="8" max="8" width="32.25" customWidth="1"/>
    <col min="9" max="9" width="9.9140625" customWidth="1"/>
    <col min="10" max="10" width="15.33203125" customWidth="1"/>
    <col min="11" max="11" width="16.75" style="2" customWidth="1"/>
    <col min="12" max="12" width="8.9140625" style="17"/>
  </cols>
  <sheetData>
    <row r="1" spans="1:12" ht="15.5">
      <c r="B1" s="39" t="s">
        <v>64</v>
      </c>
      <c r="C1" s="39"/>
      <c r="D1" s="39"/>
      <c r="E1" s="39"/>
      <c r="F1" s="39"/>
      <c r="G1" s="39"/>
      <c r="H1" s="39"/>
      <c r="I1" s="39"/>
      <c r="J1" s="39"/>
      <c r="K1" s="39"/>
    </row>
    <row r="2" spans="1:12">
      <c r="A2" s="18" t="s">
        <v>9</v>
      </c>
      <c r="F2" s="38" t="s">
        <v>68</v>
      </c>
      <c r="G2" s="38"/>
      <c r="L2" s="17" t="s">
        <v>145</v>
      </c>
    </row>
    <row r="3" spans="1:12" s="1" customFormat="1">
      <c r="A3" s="18"/>
      <c r="B3" s="11" t="s">
        <v>65</v>
      </c>
      <c r="C3" s="11" t="s">
        <v>2</v>
      </c>
      <c r="D3" s="11" t="s">
        <v>66</v>
      </c>
      <c r="E3" s="11" t="s">
        <v>67</v>
      </c>
      <c r="F3" s="11" t="s">
        <v>67</v>
      </c>
      <c r="G3" s="11" t="s">
        <v>65</v>
      </c>
      <c r="H3" s="11" t="s">
        <v>2</v>
      </c>
      <c r="I3" s="11" t="s">
        <v>66</v>
      </c>
      <c r="J3" s="11" t="s">
        <v>67</v>
      </c>
      <c r="K3" s="11" t="s">
        <v>67</v>
      </c>
    </row>
    <row r="4" spans="1:12">
      <c r="B4" s="4">
        <v>46173</v>
      </c>
      <c r="C4" s="5" t="s">
        <v>70</v>
      </c>
      <c r="D4" s="5"/>
      <c r="E4" s="5"/>
      <c r="F4" s="7">
        <v>800000</v>
      </c>
      <c r="G4" s="4">
        <v>46113</v>
      </c>
      <c r="H4" s="5" t="s">
        <v>69</v>
      </c>
      <c r="I4" s="5"/>
      <c r="J4" s="5"/>
      <c r="K4" s="7">
        <v>800000</v>
      </c>
    </row>
    <row r="5" spans="1:12">
      <c r="B5" s="6"/>
      <c r="C5" s="5"/>
      <c r="D5" s="5"/>
      <c r="E5" s="5"/>
      <c r="F5" s="9">
        <v>800000</v>
      </c>
      <c r="G5" s="6"/>
      <c r="H5" s="5"/>
      <c r="I5" s="5"/>
      <c r="J5" s="5"/>
      <c r="K5" s="9">
        <v>800000</v>
      </c>
    </row>
    <row r="6" spans="1:12">
      <c r="B6" s="6"/>
      <c r="C6" s="5"/>
      <c r="D6" s="5"/>
      <c r="E6" s="5"/>
      <c r="F6" s="6"/>
      <c r="G6" s="4">
        <v>46174</v>
      </c>
      <c r="H6" s="5" t="s">
        <v>82</v>
      </c>
      <c r="I6" s="5"/>
      <c r="J6" s="5"/>
      <c r="K6" s="7">
        <v>800000</v>
      </c>
    </row>
    <row r="8" spans="1:12">
      <c r="A8" s="18" t="s">
        <v>9</v>
      </c>
      <c r="F8" s="38" t="s">
        <v>71</v>
      </c>
      <c r="G8" s="38"/>
      <c r="L8" s="17" t="s">
        <v>145</v>
      </c>
    </row>
    <row r="9" spans="1:12" s="1" customFormat="1">
      <c r="A9" s="18"/>
      <c r="B9" s="11" t="s">
        <v>65</v>
      </c>
      <c r="C9" s="11" t="s">
        <v>2</v>
      </c>
      <c r="D9" s="11" t="s">
        <v>66</v>
      </c>
      <c r="E9" s="11" t="s">
        <v>67</v>
      </c>
      <c r="F9" s="11" t="s">
        <v>67</v>
      </c>
      <c r="G9" s="11" t="s">
        <v>65</v>
      </c>
      <c r="H9" s="11" t="s">
        <v>2</v>
      </c>
      <c r="I9" s="11" t="s">
        <v>66</v>
      </c>
      <c r="J9" s="11" t="s">
        <v>67</v>
      </c>
      <c r="K9" s="11" t="s">
        <v>67</v>
      </c>
    </row>
    <row r="10" spans="1:12">
      <c r="B10" s="4">
        <v>46113</v>
      </c>
      <c r="C10" s="5" t="s">
        <v>72</v>
      </c>
      <c r="D10" s="5"/>
      <c r="E10" s="5"/>
      <c r="F10" s="7">
        <v>800000</v>
      </c>
      <c r="G10" s="4">
        <v>46114</v>
      </c>
      <c r="H10" s="5" t="s">
        <v>73</v>
      </c>
      <c r="I10" s="5"/>
      <c r="J10" s="5"/>
      <c r="K10" s="7">
        <v>450000</v>
      </c>
    </row>
    <row r="11" spans="1:12">
      <c r="B11" s="4">
        <v>46122</v>
      </c>
      <c r="C11" s="5" t="s">
        <v>78</v>
      </c>
      <c r="D11" s="5"/>
      <c r="E11" s="5"/>
      <c r="F11" s="7">
        <v>4800</v>
      </c>
      <c r="G11" s="4">
        <v>46116</v>
      </c>
      <c r="H11" s="5" t="s">
        <v>75</v>
      </c>
      <c r="I11" s="5"/>
      <c r="J11" s="5"/>
      <c r="K11" s="7">
        <v>75000</v>
      </c>
    </row>
    <row r="12" spans="1:12">
      <c r="B12" s="4">
        <v>46127</v>
      </c>
      <c r="C12" s="5" t="s">
        <v>78</v>
      </c>
      <c r="D12" s="5"/>
      <c r="E12" s="5"/>
      <c r="F12" s="7">
        <v>5500</v>
      </c>
      <c r="G12" s="4">
        <v>46118</v>
      </c>
      <c r="H12" s="5" t="s">
        <v>76</v>
      </c>
      <c r="I12" s="5"/>
      <c r="J12" s="5"/>
      <c r="K12" s="7">
        <v>2500</v>
      </c>
    </row>
    <row r="13" spans="1:12">
      <c r="B13" s="4">
        <v>46134</v>
      </c>
      <c r="C13" s="5" t="s">
        <v>78</v>
      </c>
      <c r="D13" s="5"/>
      <c r="E13" s="5"/>
      <c r="F13" s="7">
        <v>6300</v>
      </c>
      <c r="G13" s="4">
        <v>46120</v>
      </c>
      <c r="H13" s="5" t="s">
        <v>77</v>
      </c>
      <c r="I13" s="5"/>
      <c r="J13" s="5"/>
      <c r="K13" s="7">
        <v>15000</v>
      </c>
    </row>
    <row r="14" spans="1:12">
      <c r="B14" s="4">
        <v>46140</v>
      </c>
      <c r="C14" s="5" t="s">
        <v>84</v>
      </c>
      <c r="D14" s="5"/>
      <c r="E14" s="5"/>
      <c r="F14" s="7">
        <v>7100</v>
      </c>
      <c r="G14" s="4">
        <v>46124</v>
      </c>
      <c r="H14" s="5" t="s">
        <v>79</v>
      </c>
      <c r="I14" s="5"/>
      <c r="J14" s="5"/>
      <c r="K14" s="7">
        <v>3000</v>
      </c>
    </row>
    <row r="15" spans="1:12">
      <c r="B15" s="4">
        <v>46150</v>
      </c>
      <c r="C15" s="5" t="s">
        <v>78</v>
      </c>
      <c r="D15" s="5"/>
      <c r="E15" s="5"/>
      <c r="F15" s="7">
        <v>8200</v>
      </c>
      <c r="G15" s="4">
        <v>46130</v>
      </c>
      <c r="H15" s="5" t="s">
        <v>80</v>
      </c>
      <c r="I15" s="5"/>
      <c r="J15" s="5"/>
      <c r="K15" s="7">
        <v>2200</v>
      </c>
    </row>
    <row r="16" spans="1:12">
      <c r="B16" s="4">
        <v>46157</v>
      </c>
      <c r="C16" s="5" t="s">
        <v>78</v>
      </c>
      <c r="D16" s="5"/>
      <c r="E16" s="5"/>
      <c r="F16" s="7">
        <v>9500</v>
      </c>
      <c r="G16" s="4">
        <v>46137</v>
      </c>
      <c r="H16" s="5" t="s">
        <v>81</v>
      </c>
      <c r="I16" s="5"/>
      <c r="J16" s="5"/>
      <c r="K16" s="7">
        <v>8000</v>
      </c>
    </row>
    <row r="17" spans="1:12">
      <c r="B17" s="4">
        <v>46164</v>
      </c>
      <c r="C17" s="5" t="s">
        <v>78</v>
      </c>
      <c r="D17" s="5"/>
      <c r="E17" s="5"/>
      <c r="F17" s="7">
        <v>8800</v>
      </c>
      <c r="G17" s="4">
        <v>46138</v>
      </c>
      <c r="H17" s="5" t="s">
        <v>83</v>
      </c>
      <c r="I17" s="5"/>
      <c r="J17" s="5"/>
      <c r="K17" s="6">
        <v>800</v>
      </c>
    </row>
    <row r="18" spans="1:12">
      <c r="B18" s="4">
        <v>46167</v>
      </c>
      <c r="C18" s="5" t="s">
        <v>88</v>
      </c>
      <c r="D18" s="5"/>
      <c r="E18" s="5"/>
      <c r="F18" s="7">
        <v>10000</v>
      </c>
      <c r="G18" s="4">
        <v>46142</v>
      </c>
      <c r="H18" s="5" t="s">
        <v>85</v>
      </c>
      <c r="I18" s="5"/>
      <c r="J18" s="5"/>
      <c r="K18" s="7">
        <v>24000</v>
      </c>
    </row>
    <row r="19" spans="1:12">
      <c r="B19" s="6"/>
      <c r="C19" s="5"/>
      <c r="D19" s="5"/>
      <c r="E19" s="5"/>
      <c r="F19" s="6"/>
      <c r="G19" s="4">
        <v>46145</v>
      </c>
      <c r="H19" s="5" t="s">
        <v>77</v>
      </c>
      <c r="I19" s="5"/>
      <c r="J19" s="5"/>
      <c r="K19" s="7">
        <v>16000</v>
      </c>
    </row>
    <row r="20" spans="1:12">
      <c r="B20" s="6"/>
      <c r="C20" s="5"/>
      <c r="D20" s="5"/>
      <c r="E20" s="5"/>
      <c r="F20" s="7"/>
      <c r="G20" s="4">
        <v>46147</v>
      </c>
      <c r="H20" s="5" t="s">
        <v>89</v>
      </c>
      <c r="I20" s="5"/>
      <c r="J20" s="5"/>
      <c r="K20" s="7">
        <v>30000</v>
      </c>
    </row>
    <row r="21" spans="1:12">
      <c r="B21" s="4"/>
      <c r="C21" s="5"/>
      <c r="D21" s="5"/>
      <c r="E21" s="5"/>
      <c r="F21" s="7"/>
      <c r="G21" s="4">
        <v>46152</v>
      </c>
      <c r="H21" s="5" t="s">
        <v>90</v>
      </c>
      <c r="I21" s="5"/>
      <c r="J21" s="5"/>
      <c r="K21" s="7">
        <v>1499</v>
      </c>
    </row>
    <row r="22" spans="1:12">
      <c r="B22" s="4"/>
      <c r="C22" s="5"/>
      <c r="D22" s="5"/>
      <c r="E22" s="5"/>
      <c r="F22" s="7"/>
      <c r="G22" s="4">
        <v>46154</v>
      </c>
      <c r="H22" s="5" t="s">
        <v>91</v>
      </c>
      <c r="I22" s="5"/>
      <c r="J22" s="5"/>
      <c r="K22" s="7">
        <v>4000</v>
      </c>
    </row>
    <row r="23" spans="1:12">
      <c r="B23" s="4"/>
      <c r="C23" s="5"/>
      <c r="D23" s="5"/>
      <c r="E23" s="5"/>
      <c r="F23" s="7"/>
      <c r="G23" s="4">
        <v>46160</v>
      </c>
      <c r="H23" s="5" t="s">
        <v>92</v>
      </c>
      <c r="I23" s="5"/>
      <c r="J23" s="5"/>
      <c r="K23" s="7">
        <v>9800</v>
      </c>
    </row>
    <row r="24" spans="1:12">
      <c r="B24" s="4"/>
      <c r="C24" s="5"/>
      <c r="D24" s="5"/>
      <c r="E24" s="5"/>
      <c r="F24" s="7"/>
      <c r="G24" s="4">
        <v>46162</v>
      </c>
      <c r="H24" s="5" t="s">
        <v>93</v>
      </c>
      <c r="I24" s="5"/>
      <c r="J24" s="5"/>
      <c r="K24" s="7">
        <v>2500</v>
      </c>
    </row>
    <row r="25" spans="1:12">
      <c r="B25" s="4"/>
      <c r="C25" s="5"/>
      <c r="D25" s="5"/>
      <c r="E25" s="5"/>
      <c r="F25" s="7"/>
      <c r="G25" s="4">
        <v>46170</v>
      </c>
      <c r="H25" s="5" t="s">
        <v>94</v>
      </c>
      <c r="I25" s="5"/>
      <c r="J25" s="5"/>
      <c r="K25" s="7">
        <v>2500</v>
      </c>
    </row>
    <row r="26" spans="1:12">
      <c r="B26" s="4"/>
      <c r="C26" s="5"/>
      <c r="D26" s="5"/>
      <c r="E26" s="5"/>
      <c r="F26" s="7"/>
      <c r="G26" s="4">
        <v>46172</v>
      </c>
      <c r="H26" s="5" t="s">
        <v>95</v>
      </c>
      <c r="I26" s="5"/>
      <c r="J26" s="5"/>
      <c r="K26" s="7">
        <v>3000</v>
      </c>
    </row>
    <row r="27" spans="1:12">
      <c r="B27" s="6"/>
      <c r="C27" s="5"/>
      <c r="D27" s="5"/>
      <c r="E27" s="5"/>
      <c r="F27" s="6"/>
      <c r="G27" s="4">
        <v>46173</v>
      </c>
      <c r="H27" s="5" t="s">
        <v>85</v>
      </c>
      <c r="I27" s="5"/>
      <c r="J27" s="5"/>
      <c r="K27" s="7">
        <v>24000</v>
      </c>
    </row>
    <row r="28" spans="1:12">
      <c r="B28" s="6"/>
      <c r="C28" s="5"/>
      <c r="D28" s="5"/>
      <c r="E28" s="5"/>
      <c r="F28" s="6"/>
      <c r="G28" s="4">
        <v>46173</v>
      </c>
      <c r="H28" s="5" t="s">
        <v>86</v>
      </c>
      <c r="I28" s="5"/>
      <c r="J28" s="5"/>
      <c r="K28" s="9">
        <v>189401</v>
      </c>
    </row>
    <row r="29" spans="1:12">
      <c r="B29" s="6"/>
      <c r="C29" s="5"/>
      <c r="D29" s="5"/>
      <c r="E29" s="5"/>
      <c r="F29" s="7">
        <f>SUM(F10:F18)</f>
        <v>860200</v>
      </c>
      <c r="G29" s="4"/>
      <c r="H29" s="5"/>
      <c r="I29" s="5"/>
      <c r="J29" s="5"/>
      <c r="K29" s="7">
        <v>860200</v>
      </c>
    </row>
    <row r="30" spans="1:12">
      <c r="B30" s="4">
        <v>46174</v>
      </c>
      <c r="C30" s="5" t="s">
        <v>74</v>
      </c>
      <c r="D30" s="5"/>
      <c r="E30" s="5"/>
      <c r="F30" s="7">
        <v>189401</v>
      </c>
      <c r="G30" s="4"/>
      <c r="H30" s="5"/>
      <c r="I30" s="5"/>
      <c r="J30" s="5"/>
      <c r="K30" s="7"/>
    </row>
    <row r="31" spans="1:12">
      <c r="G31" s="10"/>
      <c r="K31" s="8"/>
    </row>
    <row r="32" spans="1:12">
      <c r="A32" s="18" t="s">
        <v>9</v>
      </c>
      <c r="F32" s="38" t="s">
        <v>87</v>
      </c>
      <c r="G32" s="38"/>
      <c r="L32" s="17" t="s">
        <v>145</v>
      </c>
    </row>
    <row r="33" spans="1:12" s="1" customFormat="1">
      <c r="A33" s="18"/>
      <c r="B33" s="11" t="s">
        <v>65</v>
      </c>
      <c r="C33" s="11" t="s">
        <v>2</v>
      </c>
      <c r="D33" s="11" t="s">
        <v>66</v>
      </c>
      <c r="E33" s="11" t="s">
        <v>67</v>
      </c>
      <c r="F33" s="11" t="s">
        <v>67</v>
      </c>
      <c r="G33" s="11" t="s">
        <v>65</v>
      </c>
      <c r="H33" s="11" t="s">
        <v>2</v>
      </c>
      <c r="I33" s="11" t="s">
        <v>66</v>
      </c>
      <c r="J33" s="11" t="s">
        <v>67</v>
      </c>
      <c r="K33" s="11" t="s">
        <v>67</v>
      </c>
    </row>
    <row r="34" spans="1:12">
      <c r="B34" s="4">
        <v>46057</v>
      </c>
      <c r="C34" s="5" t="s">
        <v>96</v>
      </c>
      <c r="D34" s="5"/>
      <c r="E34" s="5"/>
      <c r="F34" s="7">
        <v>450000</v>
      </c>
      <c r="G34" s="4">
        <v>46085</v>
      </c>
      <c r="H34" s="5" t="s">
        <v>97</v>
      </c>
      <c r="I34" s="5"/>
      <c r="J34" s="5"/>
      <c r="K34" s="7">
        <v>30000</v>
      </c>
    </row>
    <row r="35" spans="1:12">
      <c r="B35" s="6"/>
      <c r="C35" s="5"/>
      <c r="D35" s="5"/>
      <c r="E35" s="5"/>
      <c r="F35" s="6"/>
      <c r="G35" s="4">
        <v>46143</v>
      </c>
      <c r="H35" s="5" t="s">
        <v>97</v>
      </c>
      <c r="I35" s="5"/>
      <c r="J35" s="5"/>
      <c r="K35" s="7">
        <v>30000</v>
      </c>
    </row>
    <row r="36" spans="1:12">
      <c r="B36" s="6"/>
      <c r="C36" s="5"/>
      <c r="D36" s="5"/>
      <c r="E36" s="5"/>
      <c r="F36" s="6"/>
      <c r="G36" s="4">
        <v>46157</v>
      </c>
      <c r="H36" s="5" t="s">
        <v>69</v>
      </c>
      <c r="I36" s="5"/>
      <c r="J36" s="5"/>
      <c r="K36" s="7">
        <v>10000</v>
      </c>
    </row>
    <row r="37" spans="1:12">
      <c r="B37" s="6"/>
      <c r="C37" s="5"/>
      <c r="D37" s="5"/>
      <c r="E37" s="5"/>
      <c r="F37" s="6"/>
      <c r="G37" s="4">
        <v>46173</v>
      </c>
      <c r="H37" s="5" t="s">
        <v>98</v>
      </c>
      <c r="I37" s="5"/>
      <c r="J37" s="5"/>
      <c r="K37" s="9">
        <v>380000</v>
      </c>
    </row>
    <row r="38" spans="1:12">
      <c r="B38" s="6"/>
      <c r="C38" s="5"/>
      <c r="D38" s="5"/>
      <c r="E38" s="5"/>
      <c r="F38" s="7">
        <v>450000</v>
      </c>
      <c r="G38" s="6"/>
      <c r="H38" s="5"/>
      <c r="I38" s="5"/>
      <c r="J38" s="5"/>
      <c r="K38" s="7">
        <v>450000</v>
      </c>
    </row>
    <row r="39" spans="1:12">
      <c r="B39" s="4">
        <v>46174</v>
      </c>
      <c r="C39" s="5" t="s">
        <v>99</v>
      </c>
      <c r="D39" s="5"/>
      <c r="E39" s="5"/>
      <c r="F39" s="7">
        <v>380000</v>
      </c>
      <c r="G39" s="6"/>
      <c r="H39" s="5"/>
      <c r="I39" s="5"/>
      <c r="J39" s="5"/>
      <c r="K39" s="6"/>
    </row>
    <row r="41" spans="1:12">
      <c r="A41" s="18" t="s">
        <v>9</v>
      </c>
      <c r="F41" s="38" t="s">
        <v>100</v>
      </c>
      <c r="G41" s="38"/>
      <c r="L41" s="17" t="s">
        <v>145</v>
      </c>
    </row>
    <row r="42" spans="1:12" s="1" customFormat="1">
      <c r="B42" s="11" t="s">
        <v>1</v>
      </c>
      <c r="C42" s="11" t="s">
        <v>101</v>
      </c>
      <c r="D42" s="11" t="s">
        <v>66</v>
      </c>
      <c r="E42" s="11" t="s">
        <v>67</v>
      </c>
      <c r="F42" s="11" t="s">
        <v>67</v>
      </c>
      <c r="G42" s="11" t="s">
        <v>1</v>
      </c>
      <c r="H42" s="11" t="s">
        <v>101</v>
      </c>
      <c r="I42" s="11" t="s">
        <v>102</v>
      </c>
      <c r="J42" s="11" t="s">
        <v>67</v>
      </c>
      <c r="K42" s="11" t="s">
        <v>67</v>
      </c>
    </row>
    <row r="43" spans="1:12">
      <c r="B43" s="4">
        <v>46114</v>
      </c>
      <c r="C43" s="5" t="s">
        <v>88</v>
      </c>
      <c r="D43" s="5"/>
      <c r="E43" s="5"/>
      <c r="F43" s="7">
        <v>30000</v>
      </c>
      <c r="G43" s="4">
        <v>46173</v>
      </c>
      <c r="H43" s="5" t="s">
        <v>103</v>
      </c>
      <c r="I43" s="5"/>
      <c r="J43" s="5"/>
      <c r="K43" s="7">
        <v>60000</v>
      </c>
    </row>
    <row r="44" spans="1:12">
      <c r="B44" s="4">
        <v>46143</v>
      </c>
      <c r="C44" s="5" t="s">
        <v>88</v>
      </c>
      <c r="D44" s="5"/>
      <c r="E44" s="5"/>
      <c r="F44" s="7">
        <v>30000</v>
      </c>
      <c r="G44" s="6"/>
      <c r="H44" s="5"/>
      <c r="I44" s="5"/>
      <c r="J44" s="5"/>
      <c r="K44" s="6"/>
    </row>
    <row r="45" spans="1:12">
      <c r="B45" s="6"/>
      <c r="C45" s="5"/>
      <c r="D45" s="5"/>
      <c r="E45" s="5"/>
      <c r="F45" s="9">
        <v>60000</v>
      </c>
      <c r="G45" s="6"/>
      <c r="H45" s="5"/>
      <c r="I45" s="5"/>
      <c r="J45" s="5"/>
      <c r="K45" s="9">
        <v>60000</v>
      </c>
    </row>
    <row r="46" spans="1:12">
      <c r="B46" s="4">
        <v>46174</v>
      </c>
      <c r="C46" s="5" t="s">
        <v>104</v>
      </c>
      <c r="D46" s="5"/>
      <c r="E46" s="5"/>
      <c r="F46" s="7">
        <v>60000</v>
      </c>
      <c r="G46" s="6"/>
      <c r="H46" s="5"/>
      <c r="I46" s="5"/>
      <c r="J46" s="5"/>
      <c r="K46" s="6"/>
    </row>
    <row r="48" spans="1:12">
      <c r="A48" s="18" t="s">
        <v>9</v>
      </c>
      <c r="F48" s="38" t="s">
        <v>105</v>
      </c>
      <c r="G48" s="38"/>
      <c r="L48" s="17" t="s">
        <v>145</v>
      </c>
    </row>
    <row r="49" spans="1:12" s="1" customFormat="1">
      <c r="A49" s="18"/>
      <c r="B49" s="12" t="s">
        <v>1</v>
      </c>
      <c r="C49" s="11" t="s">
        <v>101</v>
      </c>
      <c r="D49" s="11" t="s">
        <v>102</v>
      </c>
      <c r="E49" s="11" t="s">
        <v>67</v>
      </c>
      <c r="F49" s="11" t="s">
        <v>67</v>
      </c>
      <c r="G49" s="11" t="s">
        <v>1</v>
      </c>
      <c r="H49" s="11" t="s">
        <v>2</v>
      </c>
      <c r="I49" s="11" t="s">
        <v>66</v>
      </c>
      <c r="J49" s="11" t="s">
        <v>67</v>
      </c>
      <c r="K49" s="11" t="s">
        <v>67</v>
      </c>
    </row>
    <row r="50" spans="1:12">
      <c r="B50" s="10">
        <v>46116</v>
      </c>
      <c r="C50" s="5" t="s">
        <v>106</v>
      </c>
      <c r="D50" s="5"/>
      <c r="E50" s="5"/>
      <c r="F50" s="7">
        <v>75000</v>
      </c>
      <c r="G50" s="4">
        <v>46173</v>
      </c>
      <c r="H50" s="5" t="s">
        <v>103</v>
      </c>
      <c r="I50" s="5"/>
      <c r="J50" s="5"/>
      <c r="K50" s="7">
        <v>75000</v>
      </c>
    </row>
    <row r="51" spans="1:12">
      <c r="C51" s="5"/>
      <c r="D51" s="5"/>
      <c r="E51" s="5"/>
      <c r="F51" s="9">
        <v>75000</v>
      </c>
      <c r="G51" s="6"/>
      <c r="H51" s="5"/>
      <c r="I51" s="5"/>
      <c r="J51" s="5"/>
      <c r="K51" s="9">
        <v>75000</v>
      </c>
    </row>
    <row r="52" spans="1:12">
      <c r="B52" s="10">
        <v>46174</v>
      </c>
      <c r="C52" s="5" t="s">
        <v>104</v>
      </c>
      <c r="D52" s="5"/>
      <c r="E52" s="5"/>
      <c r="F52" s="7">
        <v>75000</v>
      </c>
      <c r="G52" s="6"/>
      <c r="H52" s="5"/>
      <c r="I52" s="5"/>
      <c r="J52" s="5"/>
      <c r="K52" s="6"/>
    </row>
    <row r="54" spans="1:12">
      <c r="A54" s="18" t="s">
        <v>9</v>
      </c>
      <c r="F54" s="38" t="s">
        <v>107</v>
      </c>
      <c r="G54" s="38"/>
      <c r="L54" s="17" t="s">
        <v>145</v>
      </c>
    </row>
    <row r="55" spans="1:12" s="1" customFormat="1">
      <c r="A55" s="18"/>
      <c r="B55" s="11" t="s">
        <v>1</v>
      </c>
      <c r="C55" s="11" t="s">
        <v>2</v>
      </c>
      <c r="D55" s="11" t="s">
        <v>66</v>
      </c>
      <c r="E55" s="11" t="s">
        <v>67</v>
      </c>
      <c r="F55" s="11" t="s">
        <v>67</v>
      </c>
      <c r="G55" s="11" t="s">
        <v>1</v>
      </c>
      <c r="H55" s="11" t="s">
        <v>101</v>
      </c>
      <c r="I55" s="11" t="s">
        <v>66</v>
      </c>
      <c r="J55" s="11" t="s">
        <v>67</v>
      </c>
      <c r="K55" s="11" t="s">
        <v>67</v>
      </c>
    </row>
    <row r="56" spans="1:12">
      <c r="B56" s="4">
        <v>46117</v>
      </c>
      <c r="C56" s="5" t="s">
        <v>108</v>
      </c>
      <c r="D56" s="5"/>
      <c r="E56" s="5"/>
      <c r="F56" s="7">
        <v>55000</v>
      </c>
      <c r="G56" s="4">
        <v>46173</v>
      </c>
      <c r="H56" s="5" t="s">
        <v>103</v>
      </c>
      <c r="I56" s="5"/>
      <c r="J56" s="5"/>
      <c r="K56" s="7">
        <v>55000</v>
      </c>
    </row>
    <row r="57" spans="1:12">
      <c r="B57" s="6"/>
      <c r="C57" s="5"/>
      <c r="D57" s="5"/>
      <c r="E57" s="5"/>
      <c r="F57" s="9">
        <v>55000</v>
      </c>
      <c r="G57" s="6"/>
      <c r="H57" s="5"/>
      <c r="I57" s="5"/>
      <c r="J57" s="5"/>
      <c r="K57" s="9">
        <v>55000</v>
      </c>
    </row>
    <row r="58" spans="1:12">
      <c r="B58" s="4">
        <v>46174</v>
      </c>
      <c r="C58" s="5" t="s">
        <v>104</v>
      </c>
      <c r="D58" s="5"/>
      <c r="E58" s="5"/>
      <c r="F58" s="7">
        <v>55000</v>
      </c>
      <c r="G58" s="6"/>
      <c r="H58" s="5"/>
      <c r="I58" s="5"/>
      <c r="J58" s="5"/>
      <c r="K58" s="6"/>
    </row>
    <row r="60" spans="1:12">
      <c r="A60" s="18" t="s">
        <v>9</v>
      </c>
      <c r="F60" s="38" t="s">
        <v>109</v>
      </c>
      <c r="G60" s="38"/>
      <c r="L60" s="17" t="s">
        <v>145</v>
      </c>
    </row>
    <row r="61" spans="1:12" s="1" customFormat="1">
      <c r="A61" s="18"/>
      <c r="B61" s="11" t="s">
        <v>1</v>
      </c>
      <c r="C61" s="11" t="s">
        <v>101</v>
      </c>
      <c r="D61" s="11" t="s">
        <v>102</v>
      </c>
      <c r="E61" s="11" t="s">
        <v>67</v>
      </c>
      <c r="F61" s="11" t="s">
        <v>67</v>
      </c>
      <c r="G61" s="11" t="s">
        <v>1</v>
      </c>
      <c r="H61" s="11" t="s">
        <v>101</v>
      </c>
      <c r="I61" s="11" t="s">
        <v>102</v>
      </c>
      <c r="J61" s="11" t="s">
        <v>67</v>
      </c>
      <c r="K61" s="11" t="s">
        <v>110</v>
      </c>
    </row>
    <row r="62" spans="1:12">
      <c r="B62" s="4">
        <v>46147</v>
      </c>
      <c r="C62" s="5" t="s">
        <v>96</v>
      </c>
      <c r="D62" s="5"/>
      <c r="E62" s="5"/>
      <c r="F62" s="7">
        <v>30000</v>
      </c>
      <c r="G62" s="4">
        <v>46117</v>
      </c>
      <c r="H62" s="5" t="s">
        <v>111</v>
      </c>
      <c r="I62" s="5"/>
      <c r="J62" s="5"/>
      <c r="K62" s="7">
        <v>55000</v>
      </c>
    </row>
    <row r="63" spans="1:12">
      <c r="B63" s="4">
        <v>46173</v>
      </c>
      <c r="C63" s="5" t="s">
        <v>104</v>
      </c>
      <c r="D63" s="5"/>
      <c r="E63" s="5"/>
      <c r="F63" s="7">
        <v>25000</v>
      </c>
      <c r="G63" s="6"/>
      <c r="H63" s="5"/>
      <c r="I63" s="5"/>
      <c r="J63" s="5"/>
      <c r="K63" s="6"/>
    </row>
    <row r="64" spans="1:12">
      <c r="B64" s="6"/>
      <c r="C64" s="5"/>
      <c r="D64" s="5"/>
      <c r="E64" s="5"/>
      <c r="F64" s="9">
        <v>55000</v>
      </c>
      <c r="G64" s="6"/>
      <c r="H64" s="5"/>
      <c r="I64" s="5"/>
      <c r="J64" s="5"/>
      <c r="K64" s="9">
        <v>55000</v>
      </c>
    </row>
    <row r="65" spans="1:12">
      <c r="B65" s="6"/>
      <c r="C65" s="5"/>
      <c r="D65" s="5"/>
      <c r="E65" s="5"/>
      <c r="F65" s="6"/>
      <c r="G65" s="4">
        <v>46174</v>
      </c>
      <c r="H65" s="5" t="s">
        <v>112</v>
      </c>
      <c r="I65" s="5"/>
      <c r="J65" s="5"/>
      <c r="K65" s="7">
        <v>25000</v>
      </c>
    </row>
    <row r="67" spans="1:12">
      <c r="A67" s="18" t="s">
        <v>9</v>
      </c>
      <c r="F67" s="38" t="s">
        <v>113</v>
      </c>
      <c r="G67" s="38"/>
      <c r="L67" s="17" t="s">
        <v>145</v>
      </c>
    </row>
    <row r="68" spans="1:12" s="1" customFormat="1">
      <c r="A68" s="18"/>
      <c r="B68" s="11" t="s">
        <v>1</v>
      </c>
      <c r="C68" s="11" t="s">
        <v>101</v>
      </c>
      <c r="D68" s="11" t="s">
        <v>66</v>
      </c>
      <c r="E68" s="11" t="s">
        <v>67</v>
      </c>
      <c r="F68" s="11" t="s">
        <v>67</v>
      </c>
      <c r="G68" s="11" t="s">
        <v>1</v>
      </c>
      <c r="H68" s="11" t="s">
        <v>101</v>
      </c>
      <c r="I68" s="11" t="s">
        <v>102</v>
      </c>
      <c r="J68" s="11" t="s">
        <v>67</v>
      </c>
      <c r="K68" s="11" t="s">
        <v>67</v>
      </c>
    </row>
    <row r="69" spans="1:12">
      <c r="B69" s="4">
        <v>46118</v>
      </c>
      <c r="C69" s="5" t="s">
        <v>114</v>
      </c>
      <c r="D69" s="5"/>
      <c r="E69" s="5"/>
      <c r="F69" s="7">
        <v>2500</v>
      </c>
      <c r="G69" s="4">
        <v>46173</v>
      </c>
      <c r="H69" s="5" t="s">
        <v>103</v>
      </c>
      <c r="I69" s="5"/>
      <c r="J69" s="5"/>
      <c r="K69" s="7">
        <v>2500</v>
      </c>
    </row>
    <row r="70" spans="1:12">
      <c r="B70" s="6"/>
      <c r="C70" s="5"/>
      <c r="D70" s="5"/>
      <c r="E70" s="5"/>
      <c r="F70" s="9">
        <v>2500</v>
      </c>
      <c r="G70" s="6"/>
      <c r="H70" s="5"/>
      <c r="I70" s="5"/>
      <c r="J70" s="5"/>
      <c r="K70" s="9">
        <v>2500</v>
      </c>
    </row>
    <row r="71" spans="1:12">
      <c r="B71" s="4">
        <v>46174</v>
      </c>
      <c r="C71" s="5" t="s">
        <v>115</v>
      </c>
      <c r="D71" s="5"/>
      <c r="E71" s="5"/>
      <c r="F71" s="7">
        <v>2500</v>
      </c>
      <c r="G71" s="6"/>
      <c r="H71" s="5"/>
      <c r="I71" s="5"/>
      <c r="J71" s="5"/>
      <c r="K71" s="6"/>
    </row>
    <row r="73" spans="1:12">
      <c r="A73" s="18" t="s">
        <v>9</v>
      </c>
      <c r="F73" s="38" t="s">
        <v>116</v>
      </c>
      <c r="G73" s="38"/>
      <c r="L73" s="17" t="s">
        <v>145</v>
      </c>
    </row>
    <row r="74" spans="1:12" s="1" customFormat="1">
      <c r="A74" s="18"/>
      <c r="B74" s="11" t="s">
        <v>1</v>
      </c>
      <c r="C74" s="11" t="s">
        <v>101</v>
      </c>
      <c r="D74" s="11" t="s">
        <v>102</v>
      </c>
      <c r="E74" s="11" t="s">
        <v>67</v>
      </c>
      <c r="F74" s="11" t="s">
        <v>67</v>
      </c>
      <c r="G74" s="11" t="s">
        <v>1</v>
      </c>
      <c r="H74" s="11" t="s">
        <v>101</v>
      </c>
      <c r="I74" s="11" t="s">
        <v>102</v>
      </c>
      <c r="J74" s="11" t="s">
        <v>67</v>
      </c>
      <c r="K74" s="11" t="s">
        <v>67</v>
      </c>
    </row>
    <row r="75" spans="1:12">
      <c r="B75" s="4">
        <v>46120</v>
      </c>
      <c r="C75" s="5" t="s">
        <v>117</v>
      </c>
      <c r="D75" s="5"/>
      <c r="E75" s="5"/>
      <c r="F75" s="7">
        <v>15000</v>
      </c>
      <c r="G75" s="4">
        <v>46173</v>
      </c>
      <c r="H75" s="5" t="s">
        <v>103</v>
      </c>
      <c r="I75" s="5"/>
      <c r="J75" s="5"/>
      <c r="K75" s="7">
        <v>39000</v>
      </c>
    </row>
    <row r="76" spans="1:12">
      <c r="B76" s="4">
        <v>46132</v>
      </c>
      <c r="C76" s="5" t="s">
        <v>118</v>
      </c>
      <c r="D76" s="5"/>
      <c r="E76" s="5"/>
      <c r="F76" s="7">
        <v>8000</v>
      </c>
      <c r="G76" s="6"/>
      <c r="H76" s="5"/>
      <c r="I76" s="5"/>
      <c r="J76" s="5"/>
      <c r="K76" s="6"/>
    </row>
    <row r="77" spans="1:12">
      <c r="B77" s="4">
        <v>46145</v>
      </c>
      <c r="C77" s="5" t="s">
        <v>117</v>
      </c>
      <c r="D77" s="5"/>
      <c r="E77" s="5"/>
      <c r="F77" s="7">
        <v>16000</v>
      </c>
      <c r="G77" s="6"/>
      <c r="H77" s="5"/>
      <c r="I77" s="5"/>
      <c r="J77" s="5"/>
      <c r="K77" s="6"/>
    </row>
    <row r="78" spans="1:12">
      <c r="B78" s="6"/>
      <c r="C78" s="5"/>
      <c r="D78" s="5"/>
      <c r="E78" s="5"/>
      <c r="F78" s="9">
        <v>39000</v>
      </c>
      <c r="G78" s="6"/>
      <c r="H78" s="5"/>
      <c r="I78" s="5"/>
      <c r="J78" s="5"/>
      <c r="K78" s="9">
        <v>39000</v>
      </c>
    </row>
    <row r="79" spans="1:12">
      <c r="B79" s="4">
        <v>46174</v>
      </c>
      <c r="C79" s="5" t="s">
        <v>74</v>
      </c>
      <c r="D79" s="5"/>
      <c r="E79" s="5"/>
      <c r="F79" s="7">
        <v>39000</v>
      </c>
      <c r="G79" s="6"/>
      <c r="H79" s="5"/>
      <c r="I79" s="5"/>
      <c r="J79" s="5"/>
      <c r="K79" s="6"/>
    </row>
    <row r="81" spans="1:12">
      <c r="A81" s="18" t="s">
        <v>9</v>
      </c>
      <c r="F81" s="38" t="s">
        <v>119</v>
      </c>
      <c r="G81" s="38"/>
      <c r="L81" s="17" t="s">
        <v>145</v>
      </c>
    </row>
    <row r="82" spans="1:12" s="1" customFormat="1">
      <c r="A82" s="18"/>
      <c r="B82" s="11" t="s">
        <v>1</v>
      </c>
      <c r="C82" s="11" t="s">
        <v>101</v>
      </c>
      <c r="D82" s="11" t="s">
        <v>102</v>
      </c>
      <c r="E82" s="11" t="s">
        <v>67</v>
      </c>
      <c r="F82" s="11" t="s">
        <v>67</v>
      </c>
      <c r="G82" s="11" t="s">
        <v>1</v>
      </c>
      <c r="H82" s="11" t="s">
        <v>101</v>
      </c>
      <c r="I82" s="11" t="s">
        <v>102</v>
      </c>
      <c r="J82" s="11" t="s">
        <v>67</v>
      </c>
      <c r="K82" s="11" t="s">
        <v>67</v>
      </c>
    </row>
    <row r="83" spans="1:12">
      <c r="B83" s="4">
        <v>46173</v>
      </c>
      <c r="C83" s="5" t="s">
        <v>70</v>
      </c>
      <c r="D83" s="5"/>
      <c r="E83" s="5"/>
      <c r="F83" s="7">
        <v>50200</v>
      </c>
      <c r="G83" s="15" t="s">
        <v>122</v>
      </c>
      <c r="H83" s="13" t="s">
        <v>120</v>
      </c>
      <c r="I83" s="5"/>
      <c r="J83" s="5"/>
      <c r="K83" s="14">
        <v>4800</v>
      </c>
    </row>
    <row r="84" spans="1:12">
      <c r="B84" s="6"/>
      <c r="C84" s="5"/>
      <c r="D84" s="5"/>
      <c r="E84" s="5"/>
      <c r="F84" s="6"/>
      <c r="G84" s="16" t="s">
        <v>123</v>
      </c>
      <c r="H84" s="13" t="s">
        <v>120</v>
      </c>
      <c r="I84" s="5"/>
      <c r="J84" s="5"/>
      <c r="K84" s="14">
        <v>5500</v>
      </c>
    </row>
    <row r="85" spans="1:12">
      <c r="B85" s="6"/>
      <c r="C85" s="5"/>
      <c r="D85" s="5"/>
      <c r="E85" s="5"/>
      <c r="F85" s="6"/>
      <c r="G85" s="16" t="s">
        <v>124</v>
      </c>
      <c r="H85" s="13" t="s">
        <v>120</v>
      </c>
      <c r="I85" s="5"/>
      <c r="J85" s="5"/>
      <c r="K85" s="14">
        <v>6300</v>
      </c>
    </row>
    <row r="86" spans="1:12">
      <c r="B86" s="6"/>
      <c r="C86" s="5"/>
      <c r="D86" s="5"/>
      <c r="E86" s="5"/>
      <c r="F86" s="6"/>
      <c r="G86" s="16" t="s">
        <v>125</v>
      </c>
      <c r="H86" s="13" t="s">
        <v>120</v>
      </c>
      <c r="I86" s="5"/>
      <c r="J86" s="5"/>
      <c r="K86" s="14">
        <v>7100</v>
      </c>
    </row>
    <row r="87" spans="1:12">
      <c r="B87" s="6"/>
      <c r="C87" s="5"/>
      <c r="D87" s="5"/>
      <c r="E87" s="5"/>
      <c r="F87" s="6"/>
      <c r="G87" s="15" t="s">
        <v>126</v>
      </c>
      <c r="H87" s="13" t="s">
        <v>120</v>
      </c>
      <c r="I87" s="5"/>
      <c r="J87" s="5"/>
      <c r="K87" s="14">
        <v>8200</v>
      </c>
    </row>
    <row r="88" spans="1:12">
      <c r="B88" s="6"/>
      <c r="C88" s="5"/>
      <c r="D88" s="5"/>
      <c r="E88" s="5"/>
      <c r="F88" s="6"/>
      <c r="G88" s="16" t="s">
        <v>127</v>
      </c>
      <c r="H88" s="13" t="s">
        <v>120</v>
      </c>
      <c r="I88" s="5"/>
      <c r="J88" s="5"/>
      <c r="K88" s="14">
        <v>9500</v>
      </c>
    </row>
    <row r="89" spans="1:12">
      <c r="B89" s="6"/>
      <c r="C89" s="5"/>
      <c r="D89" s="5"/>
      <c r="E89" s="5" t="s">
        <v>121</v>
      </c>
      <c r="F89" s="6"/>
      <c r="G89" s="16" t="s">
        <v>128</v>
      </c>
      <c r="H89" s="13" t="s">
        <v>120</v>
      </c>
      <c r="I89" s="5"/>
      <c r="J89" s="5"/>
      <c r="K89" s="14">
        <v>8800</v>
      </c>
    </row>
    <row r="90" spans="1:12">
      <c r="B90" s="6"/>
      <c r="C90" s="5"/>
      <c r="D90" s="5"/>
      <c r="E90" s="5"/>
      <c r="F90" s="9">
        <v>50200</v>
      </c>
      <c r="G90" s="6"/>
      <c r="H90" s="5"/>
      <c r="I90" s="5"/>
      <c r="J90" s="5"/>
      <c r="K90" s="9">
        <v>50200</v>
      </c>
    </row>
    <row r="92" spans="1:12">
      <c r="A92" s="18" t="s">
        <v>9</v>
      </c>
      <c r="F92" s="38" t="s">
        <v>130</v>
      </c>
      <c r="G92" s="38"/>
      <c r="L92" s="17" t="s">
        <v>145</v>
      </c>
    </row>
    <row r="93" spans="1:12" s="1" customFormat="1">
      <c r="A93" s="18"/>
      <c r="B93" s="11" t="s">
        <v>1</v>
      </c>
      <c r="C93" s="11" t="s">
        <v>101</v>
      </c>
      <c r="D93" s="11" t="s">
        <v>66</v>
      </c>
      <c r="E93" s="11" t="s">
        <v>67</v>
      </c>
      <c r="F93" s="11" t="s">
        <v>67</v>
      </c>
      <c r="G93" s="11" t="s">
        <v>1</v>
      </c>
      <c r="H93" s="11" t="s">
        <v>2</v>
      </c>
      <c r="I93" s="11" t="s">
        <v>66</v>
      </c>
      <c r="J93" s="11" t="s">
        <v>131</v>
      </c>
      <c r="K93" s="11" t="s">
        <v>67</v>
      </c>
    </row>
    <row r="94" spans="1:12">
      <c r="B94" s="4">
        <v>46124</v>
      </c>
      <c r="C94" s="5" t="s">
        <v>132</v>
      </c>
      <c r="D94" s="5"/>
      <c r="E94" s="5"/>
      <c r="F94" s="7">
        <v>3000</v>
      </c>
      <c r="G94" s="4">
        <v>46173</v>
      </c>
      <c r="H94" s="5" t="s">
        <v>86</v>
      </c>
      <c r="I94" s="5"/>
      <c r="J94" s="5"/>
      <c r="K94" s="7">
        <v>3000</v>
      </c>
    </row>
    <row r="95" spans="1:12">
      <c r="B95" s="6"/>
      <c r="C95" s="5"/>
      <c r="D95" s="5"/>
      <c r="E95" s="5"/>
      <c r="F95" s="9">
        <v>3000</v>
      </c>
      <c r="G95" s="6"/>
      <c r="H95" s="5"/>
      <c r="I95" s="5"/>
      <c r="J95" s="5"/>
      <c r="K95" s="9">
        <v>3000</v>
      </c>
    </row>
    <row r="96" spans="1:12">
      <c r="B96" s="4">
        <v>46174</v>
      </c>
      <c r="C96" s="5" t="s">
        <v>74</v>
      </c>
      <c r="D96" s="5"/>
      <c r="E96" s="5"/>
      <c r="F96" s="7">
        <v>3000</v>
      </c>
      <c r="G96" s="6"/>
      <c r="H96" s="5"/>
      <c r="I96" s="5"/>
      <c r="J96" s="5"/>
      <c r="K96" s="6"/>
    </row>
    <row r="98" spans="1:12">
      <c r="A98" s="18" t="s">
        <v>9</v>
      </c>
      <c r="F98" s="38" t="s">
        <v>133</v>
      </c>
      <c r="G98" s="38"/>
      <c r="L98" s="17" t="s">
        <v>145</v>
      </c>
    </row>
    <row r="99" spans="1:12" s="1" customFormat="1">
      <c r="A99" s="18"/>
      <c r="B99" s="11" t="s">
        <v>1</v>
      </c>
      <c r="C99" s="11" t="s">
        <v>2</v>
      </c>
      <c r="D99" s="11" t="s">
        <v>102</v>
      </c>
      <c r="E99" s="11" t="s">
        <v>67</v>
      </c>
      <c r="F99" s="11" t="s">
        <v>67</v>
      </c>
      <c r="G99" s="11" t="s">
        <v>1</v>
      </c>
      <c r="H99" s="11" t="s">
        <v>2</v>
      </c>
      <c r="I99" s="11" t="s">
        <v>66</v>
      </c>
      <c r="J99" s="11" t="s">
        <v>67</v>
      </c>
      <c r="K99" s="11" t="s">
        <v>67</v>
      </c>
    </row>
    <row r="100" spans="1:12">
      <c r="B100" s="4">
        <v>46130</v>
      </c>
      <c r="C100" s="5" t="s">
        <v>96</v>
      </c>
      <c r="D100" s="5"/>
      <c r="E100" s="5"/>
      <c r="F100" s="7">
        <v>2200</v>
      </c>
      <c r="G100" s="4">
        <v>46173</v>
      </c>
      <c r="H100" s="5" t="s">
        <v>134</v>
      </c>
      <c r="I100" s="5"/>
      <c r="J100" s="5"/>
      <c r="K100" s="7">
        <v>4700</v>
      </c>
    </row>
    <row r="101" spans="1:12">
      <c r="B101" s="4">
        <v>46162</v>
      </c>
      <c r="C101" s="5" t="s">
        <v>96</v>
      </c>
      <c r="D101" s="5"/>
      <c r="E101" s="5"/>
      <c r="F101" s="7">
        <v>2500</v>
      </c>
      <c r="G101" s="6"/>
      <c r="H101" s="5"/>
      <c r="I101" s="5"/>
      <c r="J101" s="5"/>
      <c r="K101" s="6"/>
    </row>
    <row r="102" spans="1:12">
      <c r="B102" s="6"/>
      <c r="C102" s="5"/>
      <c r="D102" s="5"/>
      <c r="E102" s="9"/>
      <c r="F102" s="9">
        <v>4700</v>
      </c>
      <c r="G102" s="6"/>
      <c r="H102" s="5"/>
      <c r="I102" s="5"/>
      <c r="J102" s="5"/>
      <c r="K102" s="9">
        <v>4700</v>
      </c>
    </row>
    <row r="103" spans="1:12">
      <c r="B103" s="4">
        <v>46174</v>
      </c>
      <c r="C103" s="5" t="s">
        <v>74</v>
      </c>
      <c r="D103" s="5"/>
      <c r="E103" s="5"/>
      <c r="F103" s="7">
        <v>4700</v>
      </c>
      <c r="G103" s="6"/>
      <c r="H103" s="5"/>
      <c r="I103" s="5"/>
      <c r="J103" s="5"/>
      <c r="K103" s="6"/>
    </row>
    <row r="105" spans="1:12">
      <c r="A105" s="18" t="s">
        <v>9</v>
      </c>
      <c r="F105" s="38" t="s">
        <v>171</v>
      </c>
      <c r="G105" s="38"/>
      <c r="L105" s="17" t="s">
        <v>145</v>
      </c>
    </row>
    <row r="106" spans="1:12" s="1" customFormat="1">
      <c r="A106" s="18"/>
      <c r="B106" s="11" t="s">
        <v>1</v>
      </c>
      <c r="C106" s="11" t="s">
        <v>2</v>
      </c>
      <c r="D106" s="11" t="s">
        <v>102</v>
      </c>
      <c r="E106" s="11" t="s">
        <v>67</v>
      </c>
      <c r="F106" s="11" t="s">
        <v>67</v>
      </c>
      <c r="G106" s="11" t="s">
        <v>1</v>
      </c>
      <c r="H106" s="11" t="s">
        <v>2</v>
      </c>
      <c r="I106" s="11" t="s">
        <v>66</v>
      </c>
      <c r="J106" s="11" t="s">
        <v>67</v>
      </c>
      <c r="K106" s="11" t="s">
        <v>67</v>
      </c>
    </row>
    <row r="107" spans="1:12">
      <c r="B107" s="4">
        <v>46137</v>
      </c>
      <c r="C107" s="5" t="s">
        <v>132</v>
      </c>
      <c r="D107" s="5"/>
      <c r="E107" s="5"/>
      <c r="F107" s="7">
        <v>8000</v>
      </c>
      <c r="G107" s="4">
        <v>46132</v>
      </c>
      <c r="H107" s="5" t="s">
        <v>77</v>
      </c>
      <c r="I107" s="5"/>
      <c r="J107" s="5"/>
      <c r="K107" s="7">
        <v>8000</v>
      </c>
    </row>
    <row r="108" spans="1:12">
      <c r="B108" s="6"/>
      <c r="C108" s="5"/>
      <c r="D108" s="5"/>
      <c r="E108" s="5"/>
      <c r="F108" s="9">
        <v>8000</v>
      </c>
      <c r="G108" s="6"/>
      <c r="H108" s="5"/>
      <c r="I108" s="5"/>
      <c r="J108" s="5"/>
      <c r="K108" s="9">
        <v>8000</v>
      </c>
    </row>
    <row r="110" spans="1:12">
      <c r="A110" s="18" t="s">
        <v>9</v>
      </c>
      <c r="F110" s="38" t="s">
        <v>135</v>
      </c>
      <c r="G110" s="38"/>
      <c r="L110" s="17" t="s">
        <v>145</v>
      </c>
    </row>
    <row r="111" spans="1:12">
      <c r="B111" s="11" t="s">
        <v>1</v>
      </c>
      <c r="C111" s="11" t="s">
        <v>2</v>
      </c>
      <c r="D111" s="11" t="s">
        <v>102</v>
      </c>
      <c r="E111" s="11" t="s">
        <v>67</v>
      </c>
      <c r="F111" s="11" t="s">
        <v>67</v>
      </c>
      <c r="G111" s="11" t="s">
        <v>1</v>
      </c>
      <c r="H111" s="11" t="s">
        <v>2</v>
      </c>
      <c r="I111" s="11" t="s">
        <v>66</v>
      </c>
      <c r="J111" s="11" t="s">
        <v>67</v>
      </c>
      <c r="K111" s="11" t="s">
        <v>67</v>
      </c>
    </row>
    <row r="112" spans="1:12">
      <c r="B112" s="4">
        <v>46138</v>
      </c>
      <c r="C112" s="5" t="s">
        <v>96</v>
      </c>
      <c r="D112" s="5"/>
      <c r="E112" s="5"/>
      <c r="F112" s="6">
        <v>800</v>
      </c>
      <c r="G112" s="4">
        <v>46173</v>
      </c>
      <c r="H112" s="5" t="s">
        <v>136</v>
      </c>
      <c r="I112" s="5"/>
      <c r="J112" s="5"/>
      <c r="K112" s="6">
        <v>800</v>
      </c>
    </row>
    <row r="113" spans="1:12">
      <c r="B113" s="6"/>
      <c r="C113" s="5"/>
      <c r="D113" s="5"/>
      <c r="E113" s="5"/>
      <c r="F113" s="3">
        <v>800</v>
      </c>
      <c r="G113" s="6"/>
      <c r="H113" s="5"/>
      <c r="I113" s="5"/>
      <c r="J113" s="5"/>
      <c r="K113" s="3">
        <v>800</v>
      </c>
    </row>
    <row r="114" spans="1:12">
      <c r="B114" s="4">
        <v>46174</v>
      </c>
      <c r="C114" s="5" t="s">
        <v>74</v>
      </c>
      <c r="D114" s="5"/>
      <c r="E114" s="5"/>
      <c r="F114" s="6">
        <v>800</v>
      </c>
      <c r="G114" s="6"/>
      <c r="H114" s="5"/>
      <c r="I114" s="5"/>
      <c r="J114" s="5"/>
      <c r="K114" s="6"/>
    </row>
    <row r="116" spans="1:12">
      <c r="A116" s="18" t="s">
        <v>9</v>
      </c>
      <c r="F116" s="38" t="s">
        <v>39</v>
      </c>
      <c r="G116" s="38"/>
      <c r="L116" s="17" t="s">
        <v>145</v>
      </c>
    </row>
    <row r="117" spans="1:12">
      <c r="B117" s="11" t="s">
        <v>1</v>
      </c>
      <c r="C117" s="11" t="s">
        <v>2</v>
      </c>
      <c r="D117" s="11" t="s">
        <v>102</v>
      </c>
      <c r="E117" s="11" t="s">
        <v>67</v>
      </c>
      <c r="F117" s="11" t="s">
        <v>67</v>
      </c>
      <c r="G117" s="11" t="s">
        <v>1</v>
      </c>
      <c r="H117" s="11" t="s">
        <v>2</v>
      </c>
      <c r="I117" s="11" t="s">
        <v>66</v>
      </c>
      <c r="J117" s="11" t="s">
        <v>67</v>
      </c>
      <c r="K117" s="11" t="s">
        <v>67</v>
      </c>
    </row>
    <row r="118" spans="1:12">
      <c r="B118" s="4">
        <v>46142</v>
      </c>
      <c r="C118" s="5" t="s">
        <v>137</v>
      </c>
      <c r="D118" s="5"/>
      <c r="E118" s="5"/>
      <c r="F118" s="7">
        <v>24000</v>
      </c>
      <c r="G118" s="4">
        <v>46173</v>
      </c>
      <c r="H118" s="5" t="s">
        <v>136</v>
      </c>
      <c r="I118" s="5"/>
      <c r="J118" s="5"/>
      <c r="K118" s="7">
        <v>48000</v>
      </c>
    </row>
    <row r="119" spans="1:12">
      <c r="B119" s="4">
        <v>46173</v>
      </c>
      <c r="C119" s="5" t="s">
        <v>137</v>
      </c>
      <c r="D119" s="5"/>
      <c r="E119" s="5"/>
      <c r="F119" s="7">
        <v>24000</v>
      </c>
      <c r="G119" s="6"/>
      <c r="H119" s="5"/>
      <c r="I119" s="5"/>
      <c r="J119" s="5"/>
      <c r="K119" s="6"/>
    </row>
    <row r="120" spans="1:12">
      <c r="B120" s="6"/>
      <c r="C120" s="5"/>
      <c r="D120" s="5"/>
      <c r="E120" s="5"/>
      <c r="F120" s="9">
        <v>48000</v>
      </c>
      <c r="G120" s="6"/>
      <c r="H120" s="5"/>
      <c r="I120" s="5"/>
      <c r="J120" s="5"/>
      <c r="K120" s="9">
        <v>48000</v>
      </c>
    </row>
    <row r="121" spans="1:12">
      <c r="B121" s="4">
        <v>46174</v>
      </c>
      <c r="C121" s="5" t="s">
        <v>129</v>
      </c>
      <c r="D121" s="5"/>
      <c r="E121" s="5"/>
      <c r="F121" s="7">
        <v>48000</v>
      </c>
      <c r="G121" s="6"/>
      <c r="H121" s="5"/>
      <c r="I121" s="5"/>
      <c r="J121" s="5"/>
      <c r="K121" s="6"/>
    </row>
    <row r="123" spans="1:12">
      <c r="A123" s="18" t="s">
        <v>9</v>
      </c>
      <c r="F123" s="38" t="s">
        <v>138</v>
      </c>
      <c r="G123" s="38"/>
      <c r="L123" s="17" t="s">
        <v>145</v>
      </c>
    </row>
    <row r="124" spans="1:12">
      <c r="B124" s="11" t="s">
        <v>1</v>
      </c>
      <c r="C124" s="11" t="s">
        <v>2</v>
      </c>
      <c r="D124" s="11" t="s">
        <v>102</v>
      </c>
      <c r="E124" s="11" t="s">
        <v>67</v>
      </c>
      <c r="F124" s="11" t="s">
        <v>67</v>
      </c>
      <c r="G124" s="11" t="s">
        <v>1</v>
      </c>
      <c r="H124" s="11" t="s">
        <v>2</v>
      </c>
      <c r="I124" s="11" t="s">
        <v>66</v>
      </c>
      <c r="J124" s="11" t="s">
        <v>67</v>
      </c>
      <c r="K124" s="11" t="s">
        <v>67</v>
      </c>
    </row>
    <row r="125" spans="1:12">
      <c r="B125" s="4">
        <v>46152</v>
      </c>
      <c r="C125" s="5" t="s">
        <v>96</v>
      </c>
      <c r="D125" s="5"/>
      <c r="E125" s="5"/>
      <c r="F125" s="7">
        <v>1499</v>
      </c>
      <c r="G125" s="4">
        <v>46173</v>
      </c>
      <c r="H125" s="5" t="s">
        <v>103</v>
      </c>
      <c r="I125" s="5"/>
      <c r="J125" s="5"/>
      <c r="K125" s="7">
        <v>1499</v>
      </c>
    </row>
    <row r="126" spans="1:12">
      <c r="B126" s="6"/>
      <c r="C126" s="5"/>
      <c r="D126" s="5"/>
      <c r="E126" s="5"/>
      <c r="F126" s="9">
        <v>1499</v>
      </c>
      <c r="G126" s="6"/>
      <c r="H126" s="5"/>
      <c r="I126" s="5"/>
      <c r="J126" s="5"/>
      <c r="K126" s="9">
        <v>1499</v>
      </c>
    </row>
    <row r="127" spans="1:12">
      <c r="B127" s="4">
        <v>46174</v>
      </c>
      <c r="C127" s="5" t="s">
        <v>74</v>
      </c>
      <c r="D127" s="5"/>
      <c r="E127" s="5"/>
      <c r="F127" s="7">
        <v>1499</v>
      </c>
      <c r="G127" s="6"/>
      <c r="H127" s="5"/>
      <c r="I127" s="5"/>
      <c r="J127" s="5"/>
      <c r="K127" s="6"/>
    </row>
    <row r="129" spans="1:12">
      <c r="A129" s="18" t="s">
        <v>9</v>
      </c>
      <c r="F129" s="38" t="s">
        <v>139</v>
      </c>
      <c r="G129" s="38"/>
      <c r="L129" s="17" t="s">
        <v>145</v>
      </c>
    </row>
    <row r="130" spans="1:12">
      <c r="B130" s="11" t="s">
        <v>1</v>
      </c>
      <c r="C130" s="11" t="s">
        <v>2</v>
      </c>
      <c r="D130" s="11" t="s">
        <v>102</v>
      </c>
      <c r="E130" s="11" t="s">
        <v>67</v>
      </c>
      <c r="F130" s="11" t="s">
        <v>67</v>
      </c>
      <c r="G130" s="11" t="s">
        <v>1</v>
      </c>
      <c r="H130" s="11" t="s">
        <v>2</v>
      </c>
      <c r="I130" s="11" t="s">
        <v>66</v>
      </c>
      <c r="J130" s="11" t="s">
        <v>67</v>
      </c>
      <c r="K130" s="11" t="s">
        <v>67</v>
      </c>
    </row>
    <row r="131" spans="1:12">
      <c r="B131" s="4">
        <v>46154</v>
      </c>
      <c r="C131" s="5" t="s">
        <v>96</v>
      </c>
      <c r="D131" s="5"/>
      <c r="E131" s="5"/>
      <c r="F131" s="7">
        <v>4000</v>
      </c>
      <c r="G131" s="4">
        <v>46173</v>
      </c>
      <c r="H131" s="5" t="s">
        <v>70</v>
      </c>
      <c r="I131" s="5"/>
      <c r="J131" s="5"/>
      <c r="K131" s="7">
        <v>4000</v>
      </c>
    </row>
    <row r="132" spans="1:12">
      <c r="B132" s="6"/>
      <c r="C132" s="5"/>
      <c r="D132" s="5"/>
      <c r="E132" s="5"/>
      <c r="F132" s="9">
        <v>4000</v>
      </c>
      <c r="G132" s="6"/>
      <c r="H132" s="5"/>
      <c r="I132" s="5"/>
      <c r="J132" s="5"/>
      <c r="K132" s="9">
        <v>4000</v>
      </c>
    </row>
    <row r="133" spans="1:12">
      <c r="B133" s="4">
        <v>46174</v>
      </c>
      <c r="C133" s="5" t="s">
        <v>74</v>
      </c>
      <c r="D133" s="5"/>
      <c r="E133" s="5"/>
      <c r="F133" s="7">
        <v>4000</v>
      </c>
      <c r="G133" s="6"/>
      <c r="H133" s="5"/>
      <c r="I133" s="5"/>
      <c r="J133" s="5"/>
      <c r="K133" s="6"/>
    </row>
    <row r="135" spans="1:12">
      <c r="A135" s="18" t="s">
        <v>9</v>
      </c>
      <c r="F135" s="38" t="s">
        <v>140</v>
      </c>
      <c r="G135" s="38"/>
      <c r="L135" s="17" t="s">
        <v>145</v>
      </c>
    </row>
    <row r="136" spans="1:12">
      <c r="B136" s="11" t="s">
        <v>1</v>
      </c>
      <c r="C136" s="11" t="s">
        <v>2</v>
      </c>
      <c r="D136" s="11" t="s">
        <v>102</v>
      </c>
      <c r="E136" s="11" t="s">
        <v>67</v>
      </c>
      <c r="F136" s="11" t="s">
        <v>67</v>
      </c>
      <c r="G136" s="11" t="s">
        <v>1</v>
      </c>
      <c r="H136" s="11" t="s">
        <v>2</v>
      </c>
      <c r="I136" s="11" t="s">
        <v>66</v>
      </c>
      <c r="J136" s="11" t="s">
        <v>67</v>
      </c>
      <c r="K136" s="11" t="s">
        <v>67</v>
      </c>
    </row>
    <row r="137" spans="1:12">
      <c r="B137" s="4">
        <v>46170</v>
      </c>
      <c r="C137" s="5" t="s">
        <v>96</v>
      </c>
      <c r="D137" s="5"/>
      <c r="E137" s="5"/>
      <c r="F137" s="7">
        <v>2500</v>
      </c>
      <c r="G137" s="4">
        <v>46173</v>
      </c>
      <c r="H137" s="5" t="s">
        <v>136</v>
      </c>
      <c r="I137" s="5"/>
      <c r="J137" s="5"/>
      <c r="K137" s="7">
        <v>2500</v>
      </c>
    </row>
    <row r="138" spans="1:12">
      <c r="B138" s="6"/>
      <c r="C138" s="5"/>
      <c r="D138" s="5"/>
      <c r="E138" s="5"/>
      <c r="F138" s="9">
        <v>2500</v>
      </c>
      <c r="G138" s="6"/>
      <c r="H138" s="5"/>
      <c r="I138" s="5"/>
      <c r="J138" s="5"/>
      <c r="K138" s="9">
        <v>2500</v>
      </c>
    </row>
    <row r="139" spans="1:12">
      <c r="B139" s="4">
        <v>46174</v>
      </c>
      <c r="C139" s="5" t="s">
        <v>74</v>
      </c>
      <c r="D139" s="5"/>
      <c r="E139" s="5"/>
      <c r="F139" s="7">
        <v>2500</v>
      </c>
      <c r="G139" s="6"/>
      <c r="H139" s="5"/>
      <c r="I139" s="5"/>
      <c r="J139" s="5"/>
      <c r="K139" s="6"/>
    </row>
    <row r="141" spans="1:12">
      <c r="A141" s="18" t="s">
        <v>9</v>
      </c>
      <c r="F141" s="38" t="s">
        <v>55</v>
      </c>
      <c r="G141" s="38"/>
      <c r="L141" s="17" t="s">
        <v>145</v>
      </c>
    </row>
    <row r="142" spans="1:12">
      <c r="B142" s="11" t="s">
        <v>1</v>
      </c>
      <c r="C142" s="11" t="s">
        <v>2</v>
      </c>
      <c r="D142" s="11" t="s">
        <v>102</v>
      </c>
      <c r="E142" s="11" t="s">
        <v>67</v>
      </c>
      <c r="F142" s="11" t="s">
        <v>67</v>
      </c>
      <c r="G142" s="11" t="s">
        <v>1</v>
      </c>
      <c r="H142" s="11" t="s">
        <v>2</v>
      </c>
      <c r="I142" s="11" t="s">
        <v>66</v>
      </c>
      <c r="J142" s="11" t="s">
        <v>67</v>
      </c>
      <c r="K142" s="11" t="s">
        <v>67</v>
      </c>
    </row>
    <row r="143" spans="1:12">
      <c r="B143" s="4">
        <v>46160</v>
      </c>
      <c r="C143" s="5" t="s">
        <v>132</v>
      </c>
      <c r="D143" s="5"/>
      <c r="E143" s="5"/>
      <c r="F143" s="7">
        <v>9800</v>
      </c>
      <c r="G143" s="4">
        <v>46173</v>
      </c>
      <c r="H143" s="5" t="s">
        <v>136</v>
      </c>
      <c r="I143" s="5"/>
      <c r="J143" s="5"/>
      <c r="K143" s="7">
        <v>9800</v>
      </c>
    </row>
    <row r="144" spans="1:12">
      <c r="B144" s="6"/>
      <c r="C144" s="5"/>
      <c r="D144" s="5"/>
      <c r="E144" s="5"/>
      <c r="F144" s="9">
        <v>9800</v>
      </c>
      <c r="G144" s="6"/>
      <c r="H144" s="5"/>
      <c r="I144" s="5"/>
      <c r="J144" s="5"/>
      <c r="K144" s="9">
        <v>9800</v>
      </c>
    </row>
    <row r="145" spans="1:12">
      <c r="B145" s="4">
        <v>46174</v>
      </c>
      <c r="C145" s="5" t="s">
        <v>104</v>
      </c>
      <c r="D145" s="5"/>
      <c r="E145" s="5"/>
      <c r="F145" s="7">
        <v>9800</v>
      </c>
      <c r="G145" s="6"/>
      <c r="H145" s="5"/>
      <c r="I145" s="5"/>
      <c r="J145" s="5"/>
      <c r="K145" s="6"/>
    </row>
    <row r="147" spans="1:12">
      <c r="A147" s="18" t="s">
        <v>9</v>
      </c>
      <c r="F147" s="38" t="s">
        <v>141</v>
      </c>
      <c r="G147" s="38"/>
      <c r="L147" s="17" t="s">
        <v>145</v>
      </c>
    </row>
    <row r="148" spans="1:12">
      <c r="B148" s="11" t="s">
        <v>1</v>
      </c>
      <c r="C148" s="11" t="s">
        <v>2</v>
      </c>
      <c r="D148" s="11" t="s">
        <v>102</v>
      </c>
      <c r="E148" s="11" t="s">
        <v>67</v>
      </c>
      <c r="F148" s="11" t="s">
        <v>67</v>
      </c>
      <c r="G148" s="11" t="s">
        <v>1</v>
      </c>
      <c r="H148" s="11" t="s">
        <v>2</v>
      </c>
      <c r="I148" s="11" t="s">
        <v>66</v>
      </c>
      <c r="J148" s="11" t="s">
        <v>67</v>
      </c>
      <c r="K148" s="11" t="s">
        <v>67</v>
      </c>
    </row>
    <row r="149" spans="1:12">
      <c r="B149" s="6" t="s">
        <v>142</v>
      </c>
      <c r="C149" s="5" t="s">
        <v>132</v>
      </c>
      <c r="D149" s="5"/>
      <c r="E149" s="5"/>
      <c r="F149" s="7">
        <v>3000</v>
      </c>
      <c r="G149" s="4">
        <v>46173</v>
      </c>
      <c r="H149" s="5" t="s">
        <v>136</v>
      </c>
      <c r="I149" s="5"/>
      <c r="J149" s="5"/>
      <c r="K149" s="7">
        <v>3000</v>
      </c>
    </row>
    <row r="150" spans="1:12">
      <c r="B150" s="6"/>
      <c r="C150" s="5"/>
      <c r="D150" s="5"/>
      <c r="E150" s="5"/>
      <c r="F150" s="9">
        <v>3000</v>
      </c>
      <c r="G150" s="6"/>
      <c r="H150" s="5"/>
      <c r="I150" s="5"/>
      <c r="J150" s="5"/>
      <c r="K150" s="9">
        <v>3000</v>
      </c>
    </row>
    <row r="151" spans="1:12">
      <c r="B151" s="6" t="s">
        <v>143</v>
      </c>
      <c r="C151" s="5" t="s">
        <v>144</v>
      </c>
      <c r="D151" s="5"/>
      <c r="E151" s="5"/>
      <c r="F151" s="7">
        <v>3000</v>
      </c>
      <c r="G151" s="6"/>
      <c r="H151" s="5"/>
      <c r="I151" s="5"/>
      <c r="J151" s="5"/>
      <c r="K151" s="6"/>
    </row>
  </sheetData>
  <mergeCells count="21">
    <mergeCell ref="F2:G2"/>
    <mergeCell ref="B1:K1"/>
    <mergeCell ref="F8:G8"/>
    <mergeCell ref="F32:G32"/>
    <mergeCell ref="F41:G41"/>
    <mergeCell ref="F81:G81"/>
    <mergeCell ref="F48:G48"/>
    <mergeCell ref="F54:G54"/>
    <mergeCell ref="F60:G60"/>
    <mergeCell ref="F67:G67"/>
    <mergeCell ref="F73:G73"/>
    <mergeCell ref="F92:G92"/>
    <mergeCell ref="F98:G98"/>
    <mergeCell ref="F105:G105"/>
    <mergeCell ref="F110:G110"/>
    <mergeCell ref="F116:G116"/>
    <mergeCell ref="F123:G123"/>
    <mergeCell ref="F129:G129"/>
    <mergeCell ref="F135:G135"/>
    <mergeCell ref="F141:G141"/>
    <mergeCell ref="F147:G14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zoomScale="124" workbookViewId="0">
      <selection activeCell="F8" sqref="F8"/>
    </sheetView>
  </sheetViews>
  <sheetFormatPr defaultRowHeight="14"/>
  <cols>
    <col min="1" max="1" width="8.9140625" style="2"/>
    <col min="2" max="2" width="37.9140625" customWidth="1"/>
    <col min="3" max="3" width="16.9140625" style="2" customWidth="1"/>
    <col min="4" max="4" width="14" style="2" customWidth="1"/>
  </cols>
  <sheetData>
    <row r="1" spans="1:4">
      <c r="A1" s="40" t="s">
        <v>170</v>
      </c>
      <c r="B1" s="40"/>
      <c r="C1" s="40"/>
      <c r="D1" s="40"/>
    </row>
    <row r="2" spans="1:4">
      <c r="A2"/>
    </row>
    <row r="3" spans="1:4">
      <c r="A3" s="41" t="s">
        <v>146</v>
      </c>
      <c r="B3" s="41" t="s">
        <v>2</v>
      </c>
      <c r="C3" s="41" t="s">
        <v>147</v>
      </c>
      <c r="D3" s="41" t="s">
        <v>148</v>
      </c>
    </row>
    <row r="4" spans="1:4">
      <c r="A4" s="16">
        <v>1</v>
      </c>
      <c r="B4" s="13" t="s">
        <v>149</v>
      </c>
      <c r="C4" s="19">
        <v>186401</v>
      </c>
      <c r="D4" s="6" t="s">
        <v>159</v>
      </c>
    </row>
    <row r="5" spans="1:4">
      <c r="A5" s="16">
        <v>2</v>
      </c>
      <c r="B5" s="13" t="s">
        <v>150</v>
      </c>
      <c r="C5" s="19">
        <v>380000</v>
      </c>
      <c r="D5" s="6" t="s">
        <v>159</v>
      </c>
    </row>
    <row r="6" spans="1:4">
      <c r="A6" s="16">
        <v>3</v>
      </c>
      <c r="B6" s="13" t="s">
        <v>151</v>
      </c>
      <c r="C6" s="19">
        <v>60000</v>
      </c>
      <c r="D6" s="6" t="s">
        <v>159</v>
      </c>
    </row>
    <row r="7" spans="1:4">
      <c r="A7" s="16">
        <v>4</v>
      </c>
      <c r="B7" s="13" t="s">
        <v>152</v>
      </c>
      <c r="C7" s="19">
        <v>75000</v>
      </c>
      <c r="D7" s="6" t="s">
        <v>159</v>
      </c>
    </row>
    <row r="8" spans="1:4">
      <c r="A8" s="16">
        <v>5</v>
      </c>
      <c r="B8" s="13" t="s">
        <v>153</v>
      </c>
      <c r="C8" s="19">
        <v>55000</v>
      </c>
      <c r="D8" s="6" t="s">
        <v>159</v>
      </c>
    </row>
    <row r="9" spans="1:4">
      <c r="A9" s="16">
        <v>6</v>
      </c>
      <c r="B9" s="13" t="s">
        <v>154</v>
      </c>
      <c r="C9" s="19">
        <v>2500</v>
      </c>
      <c r="D9" s="6" t="s">
        <v>159</v>
      </c>
    </row>
    <row r="10" spans="1:4">
      <c r="A10" s="16">
        <v>7</v>
      </c>
      <c r="B10" s="13" t="s">
        <v>155</v>
      </c>
      <c r="C10" s="19">
        <v>39000</v>
      </c>
      <c r="D10" s="6" t="s">
        <v>159</v>
      </c>
    </row>
    <row r="11" spans="1:4">
      <c r="A11" s="16">
        <v>8</v>
      </c>
      <c r="B11" s="13" t="s">
        <v>156</v>
      </c>
      <c r="C11" s="19">
        <v>3000</v>
      </c>
      <c r="D11" s="6" t="s">
        <v>159</v>
      </c>
    </row>
    <row r="12" spans="1:4">
      <c r="A12" s="16">
        <v>9</v>
      </c>
      <c r="B12" s="13" t="s">
        <v>157</v>
      </c>
      <c r="C12" s="19">
        <v>4700</v>
      </c>
      <c r="D12" s="6" t="s">
        <v>159</v>
      </c>
    </row>
    <row r="13" spans="1:4">
      <c r="A13" s="16">
        <v>10</v>
      </c>
      <c r="B13" s="13" t="s">
        <v>158</v>
      </c>
      <c r="C13" s="16" t="s">
        <v>159</v>
      </c>
      <c r="D13" s="6" t="s">
        <v>159</v>
      </c>
    </row>
    <row r="14" spans="1:4">
      <c r="A14" s="16">
        <v>11</v>
      </c>
      <c r="B14" s="13" t="s">
        <v>160</v>
      </c>
      <c r="C14" s="16">
        <v>800</v>
      </c>
      <c r="D14" s="6" t="s">
        <v>159</v>
      </c>
    </row>
    <row r="15" spans="1:4">
      <c r="A15" s="16">
        <v>12</v>
      </c>
      <c r="B15" s="13" t="s">
        <v>161</v>
      </c>
      <c r="C15" s="19">
        <v>48000</v>
      </c>
      <c r="D15" s="6" t="s">
        <v>159</v>
      </c>
    </row>
    <row r="16" spans="1:4">
      <c r="A16" s="16">
        <v>13</v>
      </c>
      <c r="B16" s="13" t="s">
        <v>162</v>
      </c>
      <c r="C16" s="19">
        <v>1499</v>
      </c>
      <c r="D16" s="6" t="s">
        <v>159</v>
      </c>
    </row>
    <row r="17" spans="1:7">
      <c r="A17" s="16">
        <v>14</v>
      </c>
      <c r="B17" s="13" t="s">
        <v>163</v>
      </c>
      <c r="C17" s="19">
        <v>4000</v>
      </c>
      <c r="D17" s="6" t="s">
        <v>159</v>
      </c>
    </row>
    <row r="18" spans="1:7">
      <c r="A18" s="16">
        <v>15</v>
      </c>
      <c r="B18" s="13" t="s">
        <v>164</v>
      </c>
      <c r="C18" s="19">
        <v>2500</v>
      </c>
      <c r="D18" s="6" t="s">
        <v>159</v>
      </c>
    </row>
    <row r="19" spans="1:7">
      <c r="A19" s="16">
        <v>16</v>
      </c>
      <c r="B19" s="13" t="s">
        <v>165</v>
      </c>
      <c r="C19" s="19">
        <v>9800</v>
      </c>
      <c r="D19" s="6" t="s">
        <v>159</v>
      </c>
    </row>
    <row r="20" spans="1:7">
      <c r="A20" s="16">
        <v>17</v>
      </c>
      <c r="B20" s="13" t="s">
        <v>166</v>
      </c>
      <c r="C20" s="19">
        <v>3000</v>
      </c>
      <c r="D20" s="6" t="s">
        <v>159</v>
      </c>
    </row>
    <row r="21" spans="1:7">
      <c r="A21" s="16">
        <v>18</v>
      </c>
      <c r="B21" s="13" t="s">
        <v>167</v>
      </c>
      <c r="C21" s="16" t="s">
        <v>159</v>
      </c>
      <c r="D21" s="19">
        <v>800000</v>
      </c>
      <c r="G21" s="21"/>
    </row>
    <row r="22" spans="1:7">
      <c r="A22" s="16">
        <v>19</v>
      </c>
      <c r="B22" s="13" t="s">
        <v>168</v>
      </c>
      <c r="C22" s="16" t="s">
        <v>159</v>
      </c>
      <c r="D22" s="19">
        <v>25000</v>
      </c>
    </row>
    <row r="23" spans="1:7">
      <c r="A23" s="16">
        <v>20</v>
      </c>
      <c r="B23" s="13" t="s">
        <v>169</v>
      </c>
      <c r="C23" s="16" t="s">
        <v>159</v>
      </c>
      <c r="D23" s="19">
        <v>50200</v>
      </c>
    </row>
    <row r="24" spans="1:7">
      <c r="A24" s="6"/>
      <c r="B24" s="5"/>
      <c r="C24" s="20">
        <f>SUM(C4:C23)</f>
        <v>875200</v>
      </c>
      <c r="D24" s="20">
        <f>SUM(D21:D23)</f>
        <v>875200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B3" sqref="B3:G3"/>
    </sheetView>
  </sheetViews>
  <sheetFormatPr defaultRowHeight="14"/>
  <cols>
    <col min="1" max="1" width="3.58203125" bestFit="1" customWidth="1"/>
    <col min="2" max="3" width="20.9140625" customWidth="1"/>
    <col min="4" max="4" width="17.08203125" style="2" customWidth="1"/>
    <col min="5" max="5" width="15.9140625" customWidth="1"/>
    <col min="6" max="6" width="17" customWidth="1"/>
    <col min="7" max="7" width="17.25" style="2" customWidth="1"/>
    <col min="8" max="8" width="4.08203125" customWidth="1"/>
  </cols>
  <sheetData>
    <row r="1" spans="1:8" ht="15.65" customHeight="1">
      <c r="A1" s="40" t="s">
        <v>227</v>
      </c>
      <c r="B1" s="40"/>
      <c r="C1" s="40"/>
      <c r="D1" s="40"/>
      <c r="E1" s="40"/>
      <c r="F1" s="40"/>
      <c r="G1" s="40"/>
    </row>
    <row r="2" spans="1:8" ht="18">
      <c r="A2" s="22" t="s">
        <v>9</v>
      </c>
      <c r="H2" s="23" t="s">
        <v>145</v>
      </c>
    </row>
    <row r="3" spans="1:8" ht="18">
      <c r="B3" s="42" t="s">
        <v>2</v>
      </c>
      <c r="C3" s="42" t="s">
        <v>131</v>
      </c>
      <c r="D3" s="42" t="s">
        <v>131</v>
      </c>
      <c r="E3" s="42" t="s">
        <v>2</v>
      </c>
      <c r="F3" s="42" t="s">
        <v>131</v>
      </c>
      <c r="G3" s="42" t="s">
        <v>131</v>
      </c>
    </row>
    <row r="4" spans="1:8">
      <c r="B4" s="5" t="s">
        <v>211</v>
      </c>
      <c r="C4" s="5"/>
      <c r="D4" s="6" t="s">
        <v>159</v>
      </c>
      <c r="E4" s="5" t="s">
        <v>212</v>
      </c>
      <c r="F4" s="5"/>
      <c r="G4" s="6">
        <v>50200</v>
      </c>
    </row>
    <row r="5" spans="1:8">
      <c r="B5" s="5" t="s">
        <v>213</v>
      </c>
      <c r="C5" s="5"/>
      <c r="D5" s="6">
        <v>39000</v>
      </c>
      <c r="E5" s="5" t="s">
        <v>214</v>
      </c>
      <c r="F5" s="5"/>
      <c r="G5" s="6" t="s">
        <v>159</v>
      </c>
    </row>
    <row r="6" spans="1:8">
      <c r="B6" s="5" t="s">
        <v>215</v>
      </c>
      <c r="C6" s="5"/>
      <c r="D6" s="3">
        <v>11200</v>
      </c>
      <c r="E6" s="5"/>
      <c r="F6" s="5"/>
      <c r="G6" s="6"/>
    </row>
    <row r="7" spans="1:8">
      <c r="B7" s="5"/>
      <c r="C7" s="5"/>
      <c r="D7" s="6"/>
      <c r="E7" s="5"/>
      <c r="F7" s="5"/>
      <c r="G7" s="6"/>
    </row>
    <row r="8" spans="1:8">
      <c r="B8" s="3"/>
      <c r="C8" s="3"/>
      <c r="D8" s="3">
        <v>50200</v>
      </c>
      <c r="E8" s="3"/>
      <c r="F8" s="3"/>
      <c r="G8" s="3">
        <v>50200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B3" sqref="B3:G3"/>
    </sheetView>
  </sheetViews>
  <sheetFormatPr defaultRowHeight="14"/>
  <cols>
    <col min="1" max="1" width="5.6640625" customWidth="1"/>
    <col min="2" max="2" width="31.4140625" customWidth="1"/>
    <col min="3" max="3" width="17.25" customWidth="1"/>
    <col min="4" max="4" width="14.08203125" style="2" customWidth="1"/>
    <col min="5" max="5" width="30.4140625" customWidth="1"/>
    <col min="6" max="6" width="16.33203125" customWidth="1"/>
    <col min="7" max="7" width="14.75" style="2" customWidth="1"/>
  </cols>
  <sheetData>
    <row r="1" spans="1:8">
      <c r="A1" s="40" t="s">
        <v>228</v>
      </c>
      <c r="B1" s="40"/>
      <c r="C1" s="40"/>
      <c r="D1" s="40"/>
      <c r="E1" s="40"/>
      <c r="F1" s="40"/>
      <c r="G1" s="40"/>
    </row>
    <row r="2" spans="1:8">
      <c r="A2" s="18" t="s">
        <v>9</v>
      </c>
      <c r="H2" s="17" t="s">
        <v>145</v>
      </c>
    </row>
    <row r="3" spans="1:8" ht="18">
      <c r="B3" s="42" t="s">
        <v>2</v>
      </c>
      <c r="C3" s="42" t="s">
        <v>131</v>
      </c>
      <c r="D3" s="42" t="s">
        <v>131</v>
      </c>
      <c r="E3" s="42" t="s">
        <v>2</v>
      </c>
      <c r="F3" s="42" t="s">
        <v>131</v>
      </c>
      <c r="G3" s="42" t="s">
        <v>131</v>
      </c>
    </row>
    <row r="4" spans="1:8">
      <c r="B4" s="5" t="s">
        <v>216</v>
      </c>
      <c r="C4" s="5"/>
      <c r="D4" s="27">
        <v>60000</v>
      </c>
      <c r="E4" s="5" t="s">
        <v>217</v>
      </c>
      <c r="F4" s="25"/>
      <c r="G4" s="24">
        <v>11200</v>
      </c>
    </row>
    <row r="5" spans="1:8">
      <c r="B5" s="5" t="s">
        <v>218</v>
      </c>
      <c r="C5" s="5"/>
      <c r="D5" s="27">
        <v>2500</v>
      </c>
      <c r="E5" s="5" t="s">
        <v>219</v>
      </c>
      <c r="F5" s="25"/>
      <c r="G5" s="26">
        <v>114799</v>
      </c>
    </row>
    <row r="6" spans="1:8">
      <c r="B6" s="5" t="s">
        <v>220</v>
      </c>
      <c r="C6" s="5"/>
      <c r="D6" s="27">
        <v>3000</v>
      </c>
      <c r="E6" s="5"/>
      <c r="F6" s="25"/>
      <c r="G6" s="24"/>
    </row>
    <row r="7" spans="1:8">
      <c r="B7" s="5" t="s">
        <v>221</v>
      </c>
      <c r="C7" s="5"/>
      <c r="D7" s="27">
        <v>4700</v>
      </c>
      <c r="E7" s="5"/>
      <c r="F7" s="25"/>
      <c r="G7" s="24"/>
    </row>
    <row r="8" spans="1:8">
      <c r="B8" s="5" t="s">
        <v>222</v>
      </c>
      <c r="C8" s="5"/>
      <c r="D8" s="27">
        <v>800</v>
      </c>
      <c r="E8" s="5"/>
      <c r="F8" s="25"/>
      <c r="G8" s="24"/>
    </row>
    <row r="9" spans="1:8">
      <c r="B9" s="5" t="s">
        <v>223</v>
      </c>
      <c r="C9" s="5"/>
      <c r="D9" s="27">
        <v>48000</v>
      </c>
      <c r="E9" s="5"/>
      <c r="F9" s="25"/>
      <c r="G9" s="24"/>
    </row>
    <row r="10" spans="1:8">
      <c r="B10" s="5" t="s">
        <v>224</v>
      </c>
      <c r="C10" s="5"/>
      <c r="D10" s="27">
        <v>1499</v>
      </c>
      <c r="E10" s="5"/>
      <c r="F10" s="25"/>
      <c r="G10" s="24"/>
    </row>
    <row r="11" spans="1:8">
      <c r="B11" s="5" t="s">
        <v>225</v>
      </c>
      <c r="C11" s="5"/>
      <c r="D11" s="27">
        <v>2500</v>
      </c>
      <c r="E11" s="5"/>
      <c r="F11" s="25"/>
      <c r="G11" s="24"/>
    </row>
    <row r="12" spans="1:8">
      <c r="B12" s="5" t="s">
        <v>226</v>
      </c>
      <c r="C12" s="5"/>
      <c r="D12" s="27">
        <v>3000</v>
      </c>
      <c r="E12" s="5"/>
      <c r="F12" s="25"/>
      <c r="G12" s="24"/>
    </row>
    <row r="13" spans="1:8">
      <c r="B13" s="5"/>
      <c r="C13" s="5"/>
      <c r="D13" s="27"/>
      <c r="E13" s="5"/>
      <c r="F13" s="25"/>
      <c r="G13" s="24"/>
    </row>
    <row r="14" spans="1:8">
      <c r="B14" s="5"/>
      <c r="C14" s="5"/>
      <c r="D14" s="28">
        <v>125999</v>
      </c>
      <c r="E14" s="5"/>
      <c r="F14" s="25"/>
      <c r="G14" s="26">
        <v>125999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"/>
    </sheetView>
  </sheetViews>
  <sheetFormatPr defaultRowHeight="14"/>
  <cols>
    <col min="1" max="1" width="24.4140625" customWidth="1"/>
    <col min="2" max="2" width="17.75" customWidth="1"/>
    <col min="3" max="3" width="15.58203125" customWidth="1"/>
    <col min="4" max="4" width="23.6640625" customWidth="1"/>
    <col min="5" max="5" width="17.9140625" customWidth="1"/>
    <col min="6" max="6" width="16.6640625" style="2" customWidth="1"/>
  </cols>
  <sheetData>
    <row r="1" spans="1:6">
      <c r="A1" s="40" t="s">
        <v>228</v>
      </c>
      <c r="B1" s="40"/>
      <c r="C1" s="40"/>
      <c r="D1" s="40"/>
      <c r="E1" s="40"/>
      <c r="F1" s="40"/>
    </row>
    <row r="3" spans="1:6" s="43" customFormat="1" ht="18">
      <c r="A3" s="42" t="s">
        <v>229</v>
      </c>
      <c r="B3" s="42" t="s">
        <v>131</v>
      </c>
      <c r="C3" s="42" t="s">
        <v>131</v>
      </c>
      <c r="D3" s="42" t="s">
        <v>230</v>
      </c>
      <c r="E3" s="42" t="s">
        <v>131</v>
      </c>
      <c r="F3" s="42" t="s">
        <v>131</v>
      </c>
    </row>
    <row r="4" spans="1:6">
      <c r="A4" s="5" t="s">
        <v>231</v>
      </c>
      <c r="B4" s="24">
        <v>800000</v>
      </c>
      <c r="C4" s="25"/>
      <c r="D4" s="5" t="s">
        <v>232</v>
      </c>
      <c r="E4" s="25"/>
      <c r="F4" s="24">
        <v>186401</v>
      </c>
    </row>
    <row r="5" spans="1:6">
      <c r="A5" s="5" t="s">
        <v>233</v>
      </c>
      <c r="B5" s="24">
        <v>114799</v>
      </c>
      <c r="C5" s="27">
        <v>685201</v>
      </c>
      <c r="D5" s="5" t="s">
        <v>234</v>
      </c>
      <c r="E5" s="25"/>
      <c r="F5" s="24">
        <v>380000</v>
      </c>
    </row>
    <row r="6" spans="1:6">
      <c r="A6" s="5" t="s">
        <v>236</v>
      </c>
      <c r="B6" s="6"/>
      <c r="D6" s="5" t="s">
        <v>235</v>
      </c>
      <c r="E6" s="25"/>
      <c r="F6" s="24">
        <v>75000</v>
      </c>
    </row>
    <row r="7" spans="1:6">
      <c r="A7" s="5" t="s">
        <v>238</v>
      </c>
      <c r="B7" s="24"/>
      <c r="C7" s="25">
        <v>25000</v>
      </c>
      <c r="D7" s="5" t="s">
        <v>237</v>
      </c>
      <c r="E7" s="25"/>
      <c r="F7" s="24">
        <v>55000</v>
      </c>
    </row>
    <row r="8" spans="1:6">
      <c r="B8" s="24"/>
      <c r="D8" s="5" t="s">
        <v>239</v>
      </c>
      <c r="E8" s="25"/>
      <c r="F8" s="24">
        <v>4000</v>
      </c>
    </row>
    <row r="9" spans="1:6">
      <c r="A9" s="5"/>
      <c r="B9" s="25"/>
      <c r="C9" s="25"/>
      <c r="D9" s="5" t="s">
        <v>240</v>
      </c>
      <c r="E9" s="25"/>
      <c r="F9" s="24">
        <v>9800</v>
      </c>
    </row>
    <row r="10" spans="1:6">
      <c r="A10" s="5"/>
      <c r="B10" s="25"/>
      <c r="C10" s="25"/>
      <c r="D10" s="5"/>
      <c r="E10" s="25"/>
      <c r="F10" s="24"/>
    </row>
    <row r="11" spans="1:6">
      <c r="A11" s="5"/>
      <c r="B11" s="25"/>
      <c r="C11" s="30">
        <v>710201</v>
      </c>
      <c r="D11" s="29"/>
      <c r="E11" s="30"/>
      <c r="F11" s="26">
        <v>710201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B3" sqref="B3"/>
    </sheetView>
  </sheetViews>
  <sheetFormatPr defaultRowHeight="14"/>
  <cols>
    <col min="1" max="1" width="32" customWidth="1"/>
    <col min="2" max="2" width="56.58203125" customWidth="1"/>
    <col min="3" max="3" width="80.4140625" bestFit="1" customWidth="1"/>
  </cols>
  <sheetData>
    <row r="1" spans="1:3">
      <c r="A1" s="44" t="s">
        <v>172</v>
      </c>
      <c r="B1" s="44"/>
      <c r="C1" s="45" t="s">
        <v>173</v>
      </c>
    </row>
    <row r="2" spans="1:3">
      <c r="A2" s="46" t="s">
        <v>174</v>
      </c>
      <c r="B2" s="46" t="s">
        <v>292</v>
      </c>
      <c r="C2" s="47"/>
    </row>
    <row r="3" spans="1:3">
      <c r="A3" s="48" t="s">
        <v>175</v>
      </c>
      <c r="B3" s="49">
        <v>566401</v>
      </c>
      <c r="C3" s="48" t="s">
        <v>178</v>
      </c>
    </row>
    <row r="4" spans="1:3">
      <c r="A4" s="48" t="s">
        <v>176</v>
      </c>
      <c r="B4" s="49">
        <v>25000</v>
      </c>
      <c r="C4" s="48" t="s">
        <v>179</v>
      </c>
    </row>
    <row r="5" spans="1:3">
      <c r="A5" s="50" t="s">
        <v>177</v>
      </c>
      <c r="B5" s="51">
        <f>B3/B4</f>
        <v>22.656040000000001</v>
      </c>
      <c r="C5" s="48" t="s">
        <v>180</v>
      </c>
    </row>
    <row r="6" spans="1:3">
      <c r="A6" s="52"/>
      <c r="B6" s="52"/>
      <c r="C6" s="52"/>
    </row>
    <row r="7" spans="1:3" s="17" customFormat="1">
      <c r="A7" s="46" t="s">
        <v>181</v>
      </c>
      <c r="B7" s="46" t="s">
        <v>293</v>
      </c>
      <c r="C7" s="46"/>
    </row>
    <row r="8" spans="1:3">
      <c r="A8" s="48" t="s">
        <v>182</v>
      </c>
      <c r="B8" s="49">
        <v>566401</v>
      </c>
      <c r="C8" s="48" t="s">
        <v>184</v>
      </c>
    </row>
    <row r="9" spans="1:3">
      <c r="A9" s="48" t="s">
        <v>176</v>
      </c>
      <c r="B9" s="49">
        <v>25000</v>
      </c>
      <c r="C9" s="48" t="s">
        <v>185</v>
      </c>
    </row>
    <row r="10" spans="1:3">
      <c r="A10" s="50" t="s">
        <v>183</v>
      </c>
      <c r="B10" s="50">
        <v>22.66</v>
      </c>
      <c r="C10" s="48" t="s">
        <v>186</v>
      </c>
    </row>
    <row r="11" spans="1:3">
      <c r="A11" s="52"/>
      <c r="B11" s="52"/>
      <c r="C11" s="52"/>
    </row>
    <row r="12" spans="1:3">
      <c r="A12" s="46" t="s">
        <v>187</v>
      </c>
      <c r="B12" s="46" t="s">
        <v>190</v>
      </c>
      <c r="C12" s="53"/>
    </row>
    <row r="13" spans="1:3">
      <c r="A13" s="48" t="s">
        <v>188</v>
      </c>
      <c r="B13" s="49">
        <v>566401</v>
      </c>
      <c r="C13" s="53" t="s">
        <v>191</v>
      </c>
    </row>
    <row r="14" spans="1:3">
      <c r="A14" s="48" t="s">
        <v>176</v>
      </c>
      <c r="B14" s="49">
        <v>25000</v>
      </c>
      <c r="C14" s="53" t="s">
        <v>192</v>
      </c>
    </row>
    <row r="15" spans="1:3">
      <c r="A15" s="50" t="s">
        <v>189</v>
      </c>
      <c r="B15" s="50">
        <v>22.66</v>
      </c>
      <c r="C15" s="53" t="s">
        <v>193</v>
      </c>
    </row>
    <row r="16" spans="1:3">
      <c r="A16" s="52"/>
      <c r="B16" s="52"/>
      <c r="C16" s="53"/>
    </row>
    <row r="17" spans="1:3">
      <c r="A17" s="46" t="s">
        <v>194</v>
      </c>
      <c r="B17" s="46" t="s">
        <v>198</v>
      </c>
      <c r="C17" s="47"/>
    </row>
    <row r="18" spans="1:3">
      <c r="A18" s="48" t="s">
        <v>195</v>
      </c>
      <c r="B18" s="49">
        <v>25000</v>
      </c>
      <c r="C18" s="48" t="s">
        <v>199</v>
      </c>
    </row>
    <row r="19" spans="1:3">
      <c r="A19" s="48" t="s">
        <v>196</v>
      </c>
      <c r="B19" s="49">
        <v>685201</v>
      </c>
      <c r="C19" s="48" t="s">
        <v>200</v>
      </c>
    </row>
    <row r="20" spans="1:3">
      <c r="A20" s="50" t="s">
        <v>197</v>
      </c>
      <c r="B20" s="50">
        <v>3.6499999999999998E-2</v>
      </c>
      <c r="C20" s="48" t="s">
        <v>210</v>
      </c>
    </row>
    <row r="21" spans="1:3">
      <c r="A21" s="52"/>
      <c r="B21" s="52"/>
      <c r="C21" s="52"/>
    </row>
    <row r="22" spans="1:3">
      <c r="A22" s="46" t="s">
        <v>201</v>
      </c>
      <c r="B22" s="46" t="s">
        <v>202</v>
      </c>
      <c r="C22" s="47" t="s">
        <v>206</v>
      </c>
    </row>
    <row r="23" spans="1:3">
      <c r="A23" s="48" t="s">
        <v>203</v>
      </c>
      <c r="B23" s="49">
        <v>25000</v>
      </c>
      <c r="C23" s="48" t="s">
        <v>207</v>
      </c>
    </row>
    <row r="24" spans="1:3">
      <c r="A24" s="48" t="s">
        <v>204</v>
      </c>
      <c r="B24" s="49">
        <v>710210</v>
      </c>
      <c r="C24" s="48" t="s">
        <v>208</v>
      </c>
    </row>
    <row r="25" spans="1:3">
      <c r="A25" s="50" t="s">
        <v>205</v>
      </c>
      <c r="B25" s="54">
        <f>B23/B24</f>
        <v>3.520085608481998E-2</v>
      </c>
      <c r="C25" s="48" t="s">
        <v>209</v>
      </c>
    </row>
    <row r="26" spans="1:3">
      <c r="A26" s="52"/>
      <c r="B26" s="52"/>
      <c r="C26" s="52"/>
    </row>
    <row r="27" spans="1:3">
      <c r="A27" s="46" t="s">
        <v>241</v>
      </c>
      <c r="B27" s="46" t="s">
        <v>242</v>
      </c>
      <c r="C27" s="47"/>
    </row>
    <row r="28" spans="1:3">
      <c r="A28" s="48" t="s">
        <v>243</v>
      </c>
      <c r="B28" s="49">
        <v>50200</v>
      </c>
      <c r="C28" s="48" t="s">
        <v>246</v>
      </c>
    </row>
    <row r="29" spans="1:3">
      <c r="A29" s="48" t="s">
        <v>244</v>
      </c>
      <c r="B29" s="49">
        <v>710210</v>
      </c>
      <c r="C29" s="48" t="s">
        <v>247</v>
      </c>
    </row>
    <row r="30" spans="1:3">
      <c r="A30" s="50" t="s">
        <v>245</v>
      </c>
      <c r="B30" s="55">
        <f>B28/B29</f>
        <v>7.0683319018318522E-2</v>
      </c>
      <c r="C30" s="48" t="s">
        <v>248</v>
      </c>
    </row>
    <row r="31" spans="1:3">
      <c r="A31" s="52"/>
      <c r="B31" s="52"/>
      <c r="C31" s="52"/>
    </row>
    <row r="32" spans="1:3">
      <c r="A32" s="46" t="s">
        <v>249</v>
      </c>
      <c r="B32" s="46" t="s">
        <v>288</v>
      </c>
      <c r="C32" s="53"/>
    </row>
    <row r="33" spans="1:3">
      <c r="A33" s="48" t="s">
        <v>250</v>
      </c>
      <c r="B33" s="49"/>
      <c r="C33" s="53"/>
    </row>
    <row r="34" spans="1:3">
      <c r="A34" s="48" t="s">
        <v>251</v>
      </c>
      <c r="B34" s="49"/>
      <c r="C34" s="53"/>
    </row>
    <row r="35" spans="1:3">
      <c r="A35" s="50" t="s">
        <v>252</v>
      </c>
      <c r="B35" s="54"/>
      <c r="C35" s="53"/>
    </row>
    <row r="36" spans="1:3">
      <c r="A36" s="52"/>
      <c r="B36" s="48"/>
      <c r="C36" s="53"/>
    </row>
    <row r="37" spans="1:3">
      <c r="A37" s="56" t="s">
        <v>253</v>
      </c>
      <c r="B37" s="46" t="s">
        <v>256</v>
      </c>
      <c r="C37" s="57"/>
    </row>
    <row r="38" spans="1:3" ht="14.5" thickBot="1">
      <c r="A38" s="58" t="s">
        <v>243</v>
      </c>
      <c r="B38" s="59">
        <v>50200</v>
      </c>
      <c r="C38" s="53" t="s">
        <v>289</v>
      </c>
    </row>
    <row r="39" spans="1:3" ht="14.5" thickBot="1">
      <c r="A39" s="58" t="s">
        <v>254</v>
      </c>
      <c r="B39" s="60">
        <v>541401</v>
      </c>
      <c r="C39" s="53" t="s">
        <v>290</v>
      </c>
    </row>
    <row r="40" spans="1:3">
      <c r="A40" s="61" t="s">
        <v>255</v>
      </c>
      <c r="B40" s="62">
        <v>9.2999999999999999E-2</v>
      </c>
      <c r="C40" s="63" t="s">
        <v>291</v>
      </c>
    </row>
    <row r="41" spans="1:3">
      <c r="A41" s="43"/>
      <c r="B41" s="43"/>
      <c r="C41" s="43"/>
    </row>
    <row r="42" spans="1:3">
      <c r="A42" s="43"/>
      <c r="B42" s="43"/>
      <c r="C42" s="43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Transactins </vt:lpstr>
      <vt:lpstr>Journal </vt:lpstr>
      <vt:lpstr>Ledger</vt:lpstr>
      <vt:lpstr>Trial Balance</vt:lpstr>
      <vt:lpstr>Trading account </vt:lpstr>
      <vt:lpstr>Profit and Loss account 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RS</dc:creator>
  <cp:lastModifiedBy>Admin</cp:lastModifiedBy>
  <dcterms:created xsi:type="dcterms:W3CDTF">2026-07-06T03:18:14Z</dcterms:created>
  <dcterms:modified xsi:type="dcterms:W3CDTF">2026-07-15T05:29:56Z</dcterms:modified>
</cp:coreProperties>
</file>